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Images\"/>
    </mc:Choice>
  </mc:AlternateContent>
  <xr:revisionPtr revIDLastSave="0" documentId="13_ncr:1_{1D04690F-AF43-482B-A5B0-31621C53A714}" xr6:coauthVersionLast="47" xr6:coauthVersionMax="47" xr10:uidLastSave="{00000000-0000-0000-0000-000000000000}"/>
  <bookViews>
    <workbookView xWindow="-108" yWindow="-108" windowWidth="23256" windowHeight="13896" activeTab="2" xr2:uid="{D0D99F3A-86A0-4854-9D99-A4F85D32620A}"/>
  </bookViews>
  <sheets>
    <sheet name="Hogs" sheetId="1" r:id="rId1"/>
    <sheet name="RobiChem" sheetId="5" r:id="rId2"/>
    <sheet name="GameFowl" sheetId="3" r:id="rId3"/>
    <sheet name="Pe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3" i="3" l="1"/>
  <c r="R67" i="5" l="1"/>
  <c r="F67" i="5"/>
  <c r="G67" i="5" s="1"/>
  <c r="H67" i="5" s="1"/>
  <c r="J67" i="5" s="1"/>
  <c r="R66" i="5"/>
  <c r="F66" i="5"/>
  <c r="G66" i="5" s="1"/>
  <c r="H66" i="5" s="1"/>
  <c r="J66" i="5" s="1"/>
  <c r="R65" i="5"/>
  <c r="F65" i="5"/>
  <c r="G65" i="5" s="1"/>
  <c r="H65" i="5" s="1"/>
  <c r="J65" i="5" s="1"/>
  <c r="R64" i="5"/>
  <c r="F64" i="5"/>
  <c r="G64" i="5" s="1"/>
  <c r="H64" i="5" s="1"/>
  <c r="J64" i="5" s="1"/>
  <c r="R63" i="5"/>
  <c r="F63" i="5"/>
  <c r="G63" i="5" s="1"/>
  <c r="H63" i="5" s="1"/>
  <c r="J63" i="5" s="1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D52" i="5"/>
  <c r="G52" i="5" s="1"/>
  <c r="H52" i="5" s="1"/>
  <c r="F51" i="5"/>
  <c r="E51" i="5"/>
  <c r="D51" i="5"/>
  <c r="F50" i="5"/>
  <c r="E50" i="5"/>
  <c r="D50" i="5"/>
  <c r="G50" i="5" s="1"/>
  <c r="H50" i="5" s="1"/>
  <c r="F49" i="5"/>
  <c r="E49" i="5"/>
  <c r="D49" i="5"/>
  <c r="G49" i="5" s="1"/>
  <c r="H49" i="5" s="1"/>
  <c r="F48" i="5"/>
  <c r="E48" i="5"/>
  <c r="D48" i="5"/>
  <c r="F47" i="5"/>
  <c r="E47" i="5"/>
  <c r="D47" i="5"/>
  <c r="F46" i="5"/>
  <c r="E46" i="5"/>
  <c r="D46" i="5"/>
  <c r="G46" i="5" s="1"/>
  <c r="H46" i="5" s="1"/>
  <c r="F45" i="5"/>
  <c r="E45" i="5"/>
  <c r="D45" i="5"/>
  <c r="D40" i="5"/>
  <c r="E40" i="5" s="1"/>
  <c r="D39" i="5"/>
  <c r="D38" i="5"/>
  <c r="D37" i="5"/>
  <c r="D34" i="5"/>
  <c r="D33" i="5"/>
  <c r="D32" i="5"/>
  <c r="E31" i="5"/>
  <c r="D31" i="5"/>
  <c r="D30" i="5"/>
  <c r="D29" i="5"/>
  <c r="D28" i="5"/>
  <c r="D27" i="5"/>
  <c r="E27" i="5" s="1"/>
  <c r="D26" i="5"/>
  <c r="E26" i="5" s="1"/>
  <c r="D25" i="5"/>
  <c r="D24" i="5"/>
  <c r="E24" i="5" s="1"/>
  <c r="D23" i="5"/>
  <c r="E22" i="5"/>
  <c r="D22" i="5"/>
  <c r="D21" i="5"/>
  <c r="E21" i="5" s="1"/>
  <c r="D20" i="5"/>
  <c r="D19" i="5"/>
  <c r="E19" i="5" s="1"/>
  <c r="D18" i="5"/>
  <c r="D17" i="5"/>
  <c r="D16" i="5"/>
  <c r="D15" i="5"/>
  <c r="E15" i="5" s="1"/>
  <c r="E14" i="5"/>
  <c r="D14" i="5"/>
  <c r="D13" i="5"/>
  <c r="E12" i="5"/>
  <c r="D12" i="5"/>
  <c r="D11" i="5"/>
  <c r="D10" i="5"/>
  <c r="E10" i="5" s="1"/>
  <c r="D9" i="5"/>
  <c r="E9" i="5" s="1"/>
  <c r="D8" i="5"/>
  <c r="E7" i="5"/>
  <c r="D7" i="5"/>
  <c r="D6" i="5"/>
  <c r="D5" i="5"/>
  <c r="D4" i="5"/>
  <c r="E8" i="5" l="1"/>
  <c r="E32" i="5"/>
  <c r="G47" i="5"/>
  <c r="H47" i="5" s="1"/>
  <c r="G55" i="5"/>
  <c r="H55" i="5" s="1"/>
  <c r="G51" i="5"/>
  <c r="H51" i="5" s="1"/>
  <c r="G56" i="5"/>
  <c r="H56" i="5" s="1"/>
  <c r="F10" i="5"/>
  <c r="G10" i="5" s="1"/>
  <c r="H10" i="5" s="1"/>
  <c r="J10" i="5" s="1"/>
  <c r="K10" i="5" s="1"/>
  <c r="E20" i="5"/>
  <c r="F20" i="5" s="1"/>
  <c r="G48" i="5"/>
  <c r="H48" i="5" s="1"/>
  <c r="G57" i="5"/>
  <c r="H57" i="5" s="1"/>
  <c r="G45" i="5"/>
  <c r="H45" i="5" s="1"/>
  <c r="F22" i="5"/>
  <c r="G22" i="5" s="1"/>
  <c r="H22" i="5" s="1"/>
  <c r="J22" i="5" s="1"/>
  <c r="K22" i="5" s="1"/>
  <c r="G53" i="5"/>
  <c r="H53" i="5" s="1"/>
  <c r="G54" i="5"/>
  <c r="H54" i="5" s="1"/>
  <c r="G58" i="5"/>
  <c r="H58" i="5" s="1"/>
  <c r="J58" i="5" s="1"/>
  <c r="K63" i="5"/>
  <c r="K64" i="5"/>
  <c r="L64" i="5"/>
  <c r="N64" i="5" s="1"/>
  <c r="P64" i="5" s="1"/>
  <c r="Q64" i="5" s="1"/>
  <c r="G27" i="5"/>
  <c r="H27" i="5" s="1"/>
  <c r="J27" i="5" s="1"/>
  <c r="F27" i="5"/>
  <c r="K65" i="5"/>
  <c r="L65" i="5" s="1"/>
  <c r="N65" i="5" s="1"/>
  <c r="P65" i="5" s="1"/>
  <c r="Q65" i="5" s="1"/>
  <c r="F40" i="5"/>
  <c r="H40" i="5" s="1"/>
  <c r="J40" i="5" s="1"/>
  <c r="F21" i="5"/>
  <c r="G21" i="5" s="1"/>
  <c r="H21" i="5" s="1"/>
  <c r="J21" i="5" s="1"/>
  <c r="K66" i="5"/>
  <c r="L66" i="5" s="1"/>
  <c r="N66" i="5" s="1"/>
  <c r="P66" i="5" s="1"/>
  <c r="Q66" i="5" s="1"/>
  <c r="F9" i="5"/>
  <c r="G9" i="5" s="1"/>
  <c r="H9" i="5" s="1"/>
  <c r="J9" i="5" s="1"/>
  <c r="F15" i="5"/>
  <c r="G15" i="5"/>
  <c r="H15" i="5" s="1"/>
  <c r="J15" i="5" s="1"/>
  <c r="K67" i="5"/>
  <c r="F28" i="5"/>
  <c r="K58" i="5"/>
  <c r="E13" i="5"/>
  <c r="F13" i="5" s="1"/>
  <c r="F14" i="5"/>
  <c r="G14" i="5" s="1"/>
  <c r="H14" i="5" s="1"/>
  <c r="J14" i="5" s="1"/>
  <c r="E25" i="5"/>
  <c r="F25" i="5" s="1"/>
  <c r="F26" i="5"/>
  <c r="G26" i="5" s="1"/>
  <c r="H26" i="5" s="1"/>
  <c r="J26" i="5" s="1"/>
  <c r="E39" i="5"/>
  <c r="F39" i="5"/>
  <c r="H39" i="5" s="1"/>
  <c r="J39" i="5" s="1"/>
  <c r="E11" i="5"/>
  <c r="F12" i="5"/>
  <c r="G12" i="5" s="1"/>
  <c r="H12" i="5" s="1"/>
  <c r="J12" i="5" s="1"/>
  <c r="E23" i="5"/>
  <c r="F24" i="5"/>
  <c r="G24" i="5" s="1"/>
  <c r="H24" i="5" s="1"/>
  <c r="J24" i="5" s="1"/>
  <c r="E38" i="5"/>
  <c r="F11" i="5"/>
  <c r="F23" i="5"/>
  <c r="E33" i="5"/>
  <c r="E34" i="5"/>
  <c r="E37" i="5"/>
  <c r="F33" i="5"/>
  <c r="F34" i="5"/>
  <c r="E6" i="5"/>
  <c r="F6" i="5" s="1"/>
  <c r="G6" i="5" s="1"/>
  <c r="H6" i="5" s="1"/>
  <c r="J6" i="5" s="1"/>
  <c r="F7" i="5"/>
  <c r="G7" i="5" s="1"/>
  <c r="H7" i="5" s="1"/>
  <c r="J7" i="5" s="1"/>
  <c r="E18" i="5"/>
  <c r="F19" i="5"/>
  <c r="G19" i="5" s="1"/>
  <c r="H19" i="5" s="1"/>
  <c r="J19" i="5" s="1"/>
  <c r="E30" i="5"/>
  <c r="F30" i="5" s="1"/>
  <c r="G30" i="5" s="1"/>
  <c r="H30" i="5" s="1"/>
  <c r="J30" i="5" s="1"/>
  <c r="F31" i="5"/>
  <c r="G31" i="5" s="1"/>
  <c r="H31" i="5" s="1"/>
  <c r="J31" i="5" s="1"/>
  <c r="E5" i="5"/>
  <c r="F5" i="5" s="1"/>
  <c r="E17" i="5"/>
  <c r="E29" i="5"/>
  <c r="E4" i="5"/>
  <c r="E16" i="5"/>
  <c r="F17" i="5"/>
  <c r="G17" i="5" s="1"/>
  <c r="H17" i="5" s="1"/>
  <c r="J17" i="5" s="1"/>
  <c r="E28" i="5"/>
  <c r="F29" i="5"/>
  <c r="G29" i="5" s="1"/>
  <c r="H29" i="5" s="1"/>
  <c r="J29" i="5" s="1"/>
  <c r="G11" i="5" l="1"/>
  <c r="H11" i="5" s="1"/>
  <c r="J11" i="5" s="1"/>
  <c r="F32" i="5"/>
  <c r="G32" i="5" s="1"/>
  <c r="H32" i="5" s="1"/>
  <c r="J32" i="5" s="1"/>
  <c r="K32" i="5" s="1"/>
  <c r="L32" i="5" s="1"/>
  <c r="N32" i="5" s="1"/>
  <c r="P32" i="5" s="1"/>
  <c r="Q32" i="5" s="1"/>
  <c r="G23" i="5"/>
  <c r="H23" i="5" s="1"/>
  <c r="J23" i="5" s="1"/>
  <c r="G20" i="5"/>
  <c r="H20" i="5" s="1"/>
  <c r="J20" i="5" s="1"/>
  <c r="G13" i="5"/>
  <c r="H13" i="5" s="1"/>
  <c r="J13" i="5" s="1"/>
  <c r="F38" i="5"/>
  <c r="H38" i="5" s="1"/>
  <c r="J38" i="5" s="1"/>
  <c r="K38" i="5" s="1"/>
  <c r="F8" i="5"/>
  <c r="G8" i="5" s="1"/>
  <c r="H8" i="5" s="1"/>
  <c r="J8" i="5" s="1"/>
  <c r="K6" i="5"/>
  <c r="L6" i="5" s="1"/>
  <c r="K40" i="5"/>
  <c r="K31" i="5"/>
  <c r="L31" i="5" s="1"/>
  <c r="K11" i="5"/>
  <c r="K39" i="5"/>
  <c r="K14" i="5"/>
  <c r="K9" i="5"/>
  <c r="L9" i="5" s="1"/>
  <c r="K30" i="5"/>
  <c r="G18" i="5"/>
  <c r="H18" i="5" s="1"/>
  <c r="J18" i="5" s="1"/>
  <c r="N10" i="5"/>
  <c r="P10" i="5" s="1"/>
  <c r="Q10" i="5" s="1"/>
  <c r="K21" i="5"/>
  <c r="K26" i="5"/>
  <c r="K19" i="5"/>
  <c r="L19" i="5"/>
  <c r="K24" i="5"/>
  <c r="L24" i="5"/>
  <c r="N24" i="5" s="1"/>
  <c r="P24" i="5" s="1"/>
  <c r="Q24" i="5" s="1"/>
  <c r="K29" i="5"/>
  <c r="L29" i="5" s="1"/>
  <c r="N29" i="5" s="1"/>
  <c r="P29" i="5" s="1"/>
  <c r="Q29" i="5" s="1"/>
  <c r="K23" i="5"/>
  <c r="K17" i="5"/>
  <c r="L17" i="5"/>
  <c r="G25" i="5"/>
  <c r="H25" i="5" s="1"/>
  <c r="J25" i="5" s="1"/>
  <c r="L67" i="5"/>
  <c r="N67" i="5" s="1"/>
  <c r="P67" i="5" s="1"/>
  <c r="Q67" i="5" s="1"/>
  <c r="K12" i="5"/>
  <c r="L12" i="5" s="1"/>
  <c r="N12" i="5" s="1"/>
  <c r="P12" i="5" s="1"/>
  <c r="Q12" i="5" s="1"/>
  <c r="G5" i="5"/>
  <c r="H5" i="5" s="1"/>
  <c r="J5" i="5" s="1"/>
  <c r="L10" i="5"/>
  <c r="L22" i="5"/>
  <c r="N22" i="5" s="1"/>
  <c r="P22" i="5" s="1"/>
  <c r="Q22" i="5" s="1"/>
  <c r="L58" i="5"/>
  <c r="N58" i="5" s="1"/>
  <c r="P58" i="5" s="1"/>
  <c r="Q58" i="5" s="1"/>
  <c r="K27" i="5"/>
  <c r="L27" i="5" s="1"/>
  <c r="G28" i="5"/>
  <c r="H28" i="5" s="1"/>
  <c r="J28" i="5" s="1"/>
  <c r="F16" i="5"/>
  <c r="G16" i="5" s="1"/>
  <c r="H16" i="5" s="1"/>
  <c r="J16" i="5" s="1"/>
  <c r="K15" i="5"/>
  <c r="F4" i="5"/>
  <c r="G4" i="5" s="1"/>
  <c r="H4" i="5" s="1"/>
  <c r="J4" i="5" s="1"/>
  <c r="L63" i="5"/>
  <c r="N63" i="5" s="1"/>
  <c r="P63" i="5" s="1"/>
  <c r="Q63" i="5" s="1"/>
  <c r="G34" i="5"/>
  <c r="H34" i="5" s="1"/>
  <c r="J34" i="5" s="1"/>
  <c r="F37" i="5"/>
  <c r="H37" i="5" s="1"/>
  <c r="J37" i="5" s="1"/>
  <c r="K7" i="5"/>
  <c r="L7" i="5"/>
  <c r="F18" i="5"/>
  <c r="G33" i="5"/>
  <c r="H33" i="5" s="1"/>
  <c r="J33" i="5" s="1"/>
  <c r="I34" i="5"/>
  <c r="I33" i="5"/>
  <c r="K8" i="5" l="1"/>
  <c r="L8" i="5"/>
  <c r="N8" i="5" s="1"/>
  <c r="P8" i="5" s="1"/>
  <c r="Q8" i="5" s="1"/>
  <c r="K20" i="5"/>
  <c r="L20" i="5" s="1"/>
  <c r="N7" i="5"/>
  <c r="P7" i="5" s="1"/>
  <c r="Q7" i="5" s="1"/>
  <c r="N17" i="5"/>
  <c r="P17" i="5" s="1"/>
  <c r="Q17" i="5" s="1"/>
  <c r="K13" i="5"/>
  <c r="N19" i="5"/>
  <c r="P19" i="5" s="1"/>
  <c r="Q19" i="5" s="1"/>
  <c r="N26" i="5"/>
  <c r="P26" i="5" s="1"/>
  <c r="Q26" i="5" s="1"/>
  <c r="K37" i="5"/>
  <c r="K4" i="5"/>
  <c r="N27" i="5"/>
  <c r="P27" i="5" s="1"/>
  <c r="Q27" i="5" s="1"/>
  <c r="N31" i="5"/>
  <c r="P31" i="5" s="1"/>
  <c r="Q31" i="5" s="1"/>
  <c r="K25" i="5"/>
  <c r="L25" i="5" s="1"/>
  <c r="L30" i="5"/>
  <c r="N30" i="5" s="1"/>
  <c r="P30" i="5" s="1"/>
  <c r="Q30" i="5" s="1"/>
  <c r="L39" i="5"/>
  <c r="N39" i="5" s="1"/>
  <c r="P39" i="5" s="1"/>
  <c r="Q39" i="5" s="1"/>
  <c r="L40" i="5"/>
  <c r="N40" i="5" s="1"/>
  <c r="P40" i="5" s="1"/>
  <c r="Q40" i="5" s="1"/>
  <c r="K34" i="5"/>
  <c r="N34" i="5" s="1"/>
  <c r="P34" i="5" s="1"/>
  <c r="Q34" i="5" s="1"/>
  <c r="L34" i="5"/>
  <c r="K5" i="5"/>
  <c r="L5" i="5" s="1"/>
  <c r="N9" i="5"/>
  <c r="P9" i="5" s="1"/>
  <c r="Q9" i="5" s="1"/>
  <c r="L23" i="5"/>
  <c r="N23" i="5" s="1"/>
  <c r="P23" i="5" s="1"/>
  <c r="Q23" i="5" s="1"/>
  <c r="L14" i="5"/>
  <c r="N14" i="5" s="1"/>
  <c r="P14" i="5" s="1"/>
  <c r="Q14" i="5" s="1"/>
  <c r="K16" i="5"/>
  <c r="L16" i="5" s="1"/>
  <c r="L26" i="5"/>
  <c r="L11" i="5"/>
  <c r="N11" i="5" s="1"/>
  <c r="P11" i="5" s="1"/>
  <c r="Q11" i="5" s="1"/>
  <c r="L21" i="5"/>
  <c r="N21" i="5" s="1"/>
  <c r="P21" i="5" s="1"/>
  <c r="Q21" i="5" s="1"/>
  <c r="L15" i="5"/>
  <c r="N15" i="5" s="1"/>
  <c r="P15" i="5" s="1"/>
  <c r="Q15" i="5" s="1"/>
  <c r="K33" i="5"/>
  <c r="N33" i="5" s="1"/>
  <c r="P33" i="5" s="1"/>
  <c r="Q33" i="5" s="1"/>
  <c r="L33" i="5"/>
  <c r="L38" i="5"/>
  <c r="N38" i="5" s="1"/>
  <c r="P38" i="5" s="1"/>
  <c r="Q38" i="5" s="1"/>
  <c r="N6" i="5"/>
  <c r="P6" i="5" s="1"/>
  <c r="Q6" i="5" s="1"/>
  <c r="K28" i="5"/>
  <c r="K18" i="5"/>
  <c r="N20" i="5" l="1"/>
  <c r="P20" i="5" s="1"/>
  <c r="Q20" i="5" s="1"/>
  <c r="L13" i="5"/>
  <c r="N13" i="5" s="1"/>
  <c r="P13" i="5" s="1"/>
  <c r="Q13" i="5" s="1"/>
  <c r="N25" i="5"/>
  <c r="P25" i="5" s="1"/>
  <c r="Q25" i="5" s="1"/>
  <c r="N16" i="5"/>
  <c r="P16" i="5" s="1"/>
  <c r="Q16" i="5" s="1"/>
  <c r="L37" i="5"/>
  <c r="N37" i="5" s="1"/>
  <c r="P37" i="5" s="1"/>
  <c r="Q37" i="5" s="1"/>
  <c r="L28" i="5"/>
  <c r="N28" i="5" s="1"/>
  <c r="P28" i="5" s="1"/>
  <c r="Q28" i="5" s="1"/>
  <c r="N5" i="5"/>
  <c r="P5" i="5" s="1"/>
  <c r="Q5" i="5" s="1"/>
  <c r="L4" i="5"/>
  <c r="N4" i="5" s="1"/>
  <c r="P4" i="5" s="1"/>
  <c r="Q4" i="5" s="1"/>
  <c r="L18" i="5"/>
  <c r="N18" i="5" s="1"/>
  <c r="P18" i="5" s="1"/>
  <c r="Q18" i="5" s="1"/>
  <c r="V15" i="4" l="1"/>
  <c r="F15" i="4"/>
  <c r="G14" i="4"/>
  <c r="D14" i="4"/>
  <c r="C14" i="4"/>
  <c r="H14" i="4" s="1"/>
  <c r="AB13" i="4"/>
  <c r="AA13" i="4"/>
  <c r="B13" i="4"/>
  <c r="H13" i="4" s="1"/>
  <c r="AB12" i="4"/>
  <c r="AA12" i="4"/>
  <c r="B12" i="4"/>
  <c r="H12" i="4" s="1"/>
  <c r="AB11" i="4"/>
  <c r="AA11" i="4"/>
  <c r="B11" i="4"/>
  <c r="H11" i="4" s="1"/>
  <c r="AB10" i="4"/>
  <c r="AA10" i="4"/>
  <c r="B10" i="4"/>
  <c r="H10" i="4" s="1"/>
  <c r="AB9" i="4"/>
  <c r="AA9" i="4"/>
  <c r="B9" i="4"/>
  <c r="H9" i="4" s="1"/>
  <c r="AB8" i="4"/>
  <c r="AA8" i="4"/>
  <c r="B8" i="4"/>
  <c r="H8" i="4" s="1"/>
  <c r="AD7" i="4"/>
  <c r="AB7" i="4"/>
  <c r="AA7" i="4"/>
  <c r="B7" i="4"/>
  <c r="H7" i="4" s="1"/>
  <c r="AB6" i="4"/>
  <c r="AA6" i="4"/>
  <c r="B6" i="4"/>
  <c r="H6" i="4" s="1"/>
  <c r="I6" i="4" s="1"/>
  <c r="J6" i="4" s="1"/>
  <c r="L6" i="4" s="1"/>
  <c r="M23" i="3"/>
  <c r="B23" i="3"/>
  <c r="G23" i="3" s="1"/>
  <c r="M22" i="3"/>
  <c r="G22" i="3"/>
  <c r="H22" i="3" s="1"/>
  <c r="J22" i="3" s="1"/>
  <c r="B22" i="3"/>
  <c r="M21" i="3"/>
  <c r="B21" i="3"/>
  <c r="G21" i="3" s="1"/>
  <c r="M20" i="3"/>
  <c r="G20" i="3"/>
  <c r="H20" i="3" s="1"/>
  <c r="J20" i="3" s="1"/>
  <c r="B20" i="3"/>
  <c r="M19" i="3"/>
  <c r="B19" i="3"/>
  <c r="G19" i="3" s="1"/>
  <c r="M18" i="3"/>
  <c r="B18" i="3"/>
  <c r="G18" i="3" s="1"/>
  <c r="M17" i="3"/>
  <c r="G17" i="3"/>
  <c r="B17" i="3"/>
  <c r="M16" i="3"/>
  <c r="B16" i="3"/>
  <c r="G16" i="3" s="1"/>
  <c r="M15" i="3"/>
  <c r="B15" i="3"/>
  <c r="G15" i="3" s="1"/>
  <c r="M14" i="3"/>
  <c r="B14" i="3"/>
  <c r="G14" i="3" s="1"/>
  <c r="M13" i="3"/>
  <c r="B13" i="3"/>
  <c r="G13" i="3" s="1"/>
  <c r="H13" i="3" s="1"/>
  <c r="J13" i="3" s="1"/>
  <c r="T13" i="3" s="1"/>
  <c r="M12" i="3"/>
  <c r="B12" i="3"/>
  <c r="G12" i="3" s="1"/>
  <c r="M11" i="3"/>
  <c r="B11" i="3"/>
  <c r="G11" i="3" s="1"/>
  <c r="M10" i="3"/>
  <c r="B10" i="3"/>
  <c r="G10" i="3" s="1"/>
  <c r="M9" i="3"/>
  <c r="B9" i="3"/>
  <c r="G9" i="3" s="1"/>
  <c r="M8" i="3"/>
  <c r="B8" i="3"/>
  <c r="G8" i="3" s="1"/>
  <c r="M7" i="3"/>
  <c r="G7" i="3"/>
  <c r="B7" i="3"/>
  <c r="Y31" i="1"/>
  <c r="N31" i="1"/>
  <c r="G31" i="1"/>
  <c r="J31" i="1" s="1"/>
  <c r="U31" i="1" s="1"/>
  <c r="B31" i="1"/>
  <c r="Y30" i="1"/>
  <c r="N30" i="1"/>
  <c r="B30" i="1"/>
  <c r="G30" i="1" s="1"/>
  <c r="J30" i="1" s="1"/>
  <c r="U30" i="1" s="1"/>
  <c r="Y29" i="1"/>
  <c r="N29" i="1"/>
  <c r="B29" i="1"/>
  <c r="G29" i="1" s="1"/>
  <c r="J29" i="1" s="1"/>
  <c r="U29" i="1" s="1"/>
  <c r="Y28" i="1"/>
  <c r="N28" i="1"/>
  <c r="G28" i="1"/>
  <c r="J28" i="1" s="1"/>
  <c r="B28" i="1"/>
  <c r="Y27" i="1"/>
  <c r="N27" i="1"/>
  <c r="B27" i="1"/>
  <c r="G27" i="1" s="1"/>
  <c r="J27" i="1" s="1"/>
  <c r="U27" i="1" s="1"/>
  <c r="G26" i="1"/>
  <c r="J26" i="1" s="1"/>
  <c r="G25" i="1"/>
  <c r="J25" i="1" s="1"/>
  <c r="G24" i="1"/>
  <c r="J24" i="1" s="1"/>
  <c r="Y21" i="1"/>
  <c r="N21" i="1"/>
  <c r="B21" i="1"/>
  <c r="G21" i="1" s="1"/>
  <c r="J21" i="1" s="1"/>
  <c r="U21" i="1" s="1"/>
  <c r="Y20" i="1"/>
  <c r="N20" i="1"/>
  <c r="B20" i="1"/>
  <c r="G20" i="1" s="1"/>
  <c r="J20" i="1" s="1"/>
  <c r="U20" i="1" s="1"/>
  <c r="Y19" i="1"/>
  <c r="N19" i="1"/>
  <c r="B19" i="1"/>
  <c r="G19" i="1" s="1"/>
  <c r="J19" i="1" s="1"/>
  <c r="U19" i="1" s="1"/>
  <c r="Y18" i="1"/>
  <c r="N18" i="1"/>
  <c r="B18" i="1"/>
  <c r="G18" i="1" s="1"/>
  <c r="J18" i="1" s="1"/>
  <c r="U18" i="1" s="1"/>
  <c r="Y17" i="1"/>
  <c r="N17" i="1"/>
  <c r="G17" i="1"/>
  <c r="J17" i="1" s="1"/>
  <c r="U17" i="1" s="1"/>
  <c r="B17" i="1"/>
  <c r="N16" i="1"/>
  <c r="B16" i="1"/>
  <c r="G16" i="1" s="1"/>
  <c r="J16" i="1" s="1"/>
  <c r="N13" i="1"/>
  <c r="B13" i="1"/>
  <c r="G13" i="1" s="1"/>
  <c r="J13" i="1" s="1"/>
  <c r="N12" i="1"/>
  <c r="B12" i="1"/>
  <c r="G12" i="1" s="1"/>
  <c r="J12" i="1" s="1"/>
  <c r="U12" i="1" s="1"/>
  <c r="N11" i="1"/>
  <c r="B11" i="1"/>
  <c r="G11" i="1" s="1"/>
  <c r="J11" i="1" s="1"/>
  <c r="U11" i="1" s="1"/>
  <c r="N10" i="1"/>
  <c r="B10" i="1"/>
  <c r="G10" i="1" s="1"/>
  <c r="J10" i="1" s="1"/>
  <c r="U10" i="1" s="1"/>
  <c r="N9" i="1"/>
  <c r="B9" i="1"/>
  <c r="G9" i="1" s="1"/>
  <c r="J9" i="1" s="1"/>
  <c r="N8" i="1"/>
  <c r="B8" i="1"/>
  <c r="G8" i="1" s="1"/>
  <c r="J8" i="1" s="1"/>
  <c r="U8" i="1" s="1"/>
  <c r="N7" i="1"/>
  <c r="B7" i="1"/>
  <c r="G7" i="1" s="1"/>
  <c r="J7" i="1" s="1"/>
  <c r="U7" i="1" s="1"/>
  <c r="U16" i="1" l="1"/>
  <c r="U9" i="1"/>
  <c r="U13" i="1"/>
  <c r="U28" i="1"/>
  <c r="I9" i="4"/>
  <c r="J9" i="4" s="1"/>
  <c r="L9" i="4" s="1"/>
  <c r="I8" i="4"/>
  <c r="J8" i="4" s="1"/>
  <c r="L8" i="4" s="1"/>
  <c r="I14" i="4"/>
  <c r="J14" i="4" s="1"/>
  <c r="I12" i="4"/>
  <c r="J12" i="4" s="1"/>
  <c r="L12" i="4" s="1"/>
  <c r="V12" i="4" s="1"/>
  <c r="W12" i="4" s="1"/>
  <c r="AC12" i="4" s="1"/>
  <c r="I13" i="4"/>
  <c r="J13" i="4" s="1"/>
  <c r="I10" i="4"/>
  <c r="M6" i="4"/>
  <c r="V6" i="4" s="1"/>
  <c r="W6" i="4" s="1"/>
  <c r="AC6" i="4" s="1"/>
  <c r="I11" i="4"/>
  <c r="J11" i="4" s="1"/>
  <c r="I7" i="4"/>
  <c r="H14" i="3"/>
  <c r="J14" i="3" s="1"/>
  <c r="H10" i="3"/>
  <c r="J10" i="3"/>
  <c r="T10" i="3" s="1"/>
  <c r="H15" i="3"/>
  <c r="J15" i="3"/>
  <c r="H21" i="3"/>
  <c r="J21" i="3" s="1"/>
  <c r="H12" i="3"/>
  <c r="J12" i="3" s="1"/>
  <c r="T12" i="3" s="1"/>
  <c r="T22" i="3"/>
  <c r="K22" i="3"/>
  <c r="K20" i="3"/>
  <c r="T20" i="3"/>
  <c r="H16" i="3"/>
  <c r="J16" i="3" s="1"/>
  <c r="J17" i="3"/>
  <c r="H8" i="3"/>
  <c r="J8" i="3"/>
  <c r="T8" i="3" s="1"/>
  <c r="J9" i="3"/>
  <c r="T9" i="3" s="1"/>
  <c r="J7" i="3"/>
  <c r="T7" i="3" s="1"/>
  <c r="H18" i="3"/>
  <c r="J18" i="3" s="1"/>
  <c r="H23" i="3"/>
  <c r="J23" i="3" s="1"/>
  <c r="H19" i="3"/>
  <c r="J19" i="3" s="1"/>
  <c r="H17" i="3"/>
  <c r="H7" i="3"/>
  <c r="H9" i="3"/>
  <c r="H11" i="3"/>
  <c r="J11" i="3" s="1"/>
  <c r="T11" i="3" s="1"/>
  <c r="U26" i="1"/>
  <c r="L26" i="1"/>
  <c r="W26" i="1" s="1"/>
  <c r="U24" i="1"/>
  <c r="L24" i="1"/>
  <c r="W24" i="1" s="1"/>
  <c r="U25" i="1"/>
  <c r="L25" i="1"/>
  <c r="W25" i="1" s="1"/>
  <c r="L13" i="4" l="1"/>
  <c r="M8" i="4"/>
  <c r="V8" i="4" s="1"/>
  <c r="W8" i="4" s="1"/>
  <c r="AC8" i="4" s="1"/>
  <c r="M9" i="4"/>
  <c r="V9" i="4"/>
  <c r="W9" i="4" s="1"/>
  <c r="AC9" i="4" s="1"/>
  <c r="L14" i="4"/>
  <c r="L11" i="4"/>
  <c r="J10" i="4"/>
  <c r="L10" i="4" s="1"/>
  <c r="M13" i="4"/>
  <c r="V13" i="4"/>
  <c r="W13" i="4" s="1"/>
  <c r="AC13" i="4" s="1"/>
  <c r="J7" i="4"/>
  <c r="L7" i="4" s="1"/>
  <c r="K16" i="3"/>
  <c r="T16" i="3" s="1"/>
  <c r="K19" i="3"/>
  <c r="T19" i="3" s="1"/>
  <c r="K23" i="3"/>
  <c r="T23" i="3" s="1"/>
  <c r="K18" i="3"/>
  <c r="T18" i="3"/>
  <c r="K21" i="3"/>
  <c r="T21" i="3" s="1"/>
  <c r="K14" i="3"/>
  <c r="T14" i="3" s="1"/>
  <c r="K17" i="3"/>
  <c r="T17" i="3"/>
  <c r="K15" i="3"/>
  <c r="T15" i="3" s="1"/>
  <c r="M10" i="4" l="1"/>
  <c r="V10" i="4"/>
  <c r="W10" i="4" s="1"/>
  <c r="AC10" i="4" s="1"/>
  <c r="M7" i="4"/>
  <c r="V7" i="4"/>
  <c r="W7" i="4" s="1"/>
  <c r="AC7" i="4" s="1"/>
  <c r="M11" i="4"/>
  <c r="V11" i="4" s="1"/>
  <c r="W11" i="4" s="1"/>
  <c r="AC11" i="4" s="1"/>
  <c r="V14" i="4"/>
  <c r="M14" i="4"/>
</calcChain>
</file>

<file path=xl/sharedStrings.xml><?xml version="1.0" encoding="utf-8"?>
<sst xmlns="http://schemas.openxmlformats.org/spreadsheetml/2006/main" count="427" uniqueCount="237">
  <si>
    <t>UNO + Booster</t>
  </si>
  <si>
    <t>ELISHEN AGRIVANCE DISTRIBUTION</t>
  </si>
  <si>
    <t>BUTUAN CITY</t>
  </si>
  <si>
    <t xml:space="preserve">EX-PLANT BUKIDNON / DAVAO </t>
  </si>
  <si>
    <t>DISTRIBUTOR PRICE MATRIX</t>
  </si>
  <si>
    <t>SUPREME</t>
  </si>
  <si>
    <t>Distibutor</t>
  </si>
  <si>
    <t xml:space="preserve">Pick up  </t>
  </si>
  <si>
    <t xml:space="preserve">Business Dev't  </t>
  </si>
  <si>
    <t xml:space="preserve">Manpower  </t>
  </si>
  <si>
    <t>Payment Before Delivery</t>
  </si>
  <si>
    <t>Bukidnon Plant</t>
  </si>
  <si>
    <t xml:space="preserve">Distributor </t>
  </si>
  <si>
    <t>Freight and Handling</t>
  </si>
  <si>
    <t>Sales Support</t>
  </si>
  <si>
    <t>Manpower</t>
  </si>
  <si>
    <t xml:space="preserve">Business Devt </t>
  </si>
  <si>
    <t>Outright</t>
  </si>
  <si>
    <t>COD</t>
  </si>
  <si>
    <t>Ktech &amp; Sales</t>
  </si>
  <si>
    <t>Bag</t>
  </si>
  <si>
    <t>Publish</t>
  </si>
  <si>
    <t xml:space="preserve">Discount  </t>
  </si>
  <si>
    <t>NET PRICE / Capital</t>
  </si>
  <si>
    <t>Income</t>
  </si>
  <si>
    <t>Plant - Whse.</t>
  </si>
  <si>
    <t>Whse - Dealer</t>
  </si>
  <si>
    <t>Fund</t>
  </si>
  <si>
    <t>Dealers Discount</t>
  </si>
  <si>
    <t>Incentives</t>
  </si>
  <si>
    <t>Price</t>
  </si>
  <si>
    <t>Price/Bag</t>
  </si>
  <si>
    <t>Price/Kilo</t>
  </si>
  <si>
    <t>UNO+Supreme Pre-Starter Crumble</t>
  </si>
  <si>
    <t>UNO+Supreme Starter Pellet</t>
  </si>
  <si>
    <t>UNO+Supreme Grower</t>
  </si>
  <si>
    <t>UNO+Supreme Finisher</t>
  </si>
  <si>
    <t>UNO+Supreme Breeder</t>
  </si>
  <si>
    <t>UNO+ Supreme Lactating</t>
  </si>
  <si>
    <t>Premium Lines</t>
  </si>
  <si>
    <t>Ex-Bukidnon Plant Price</t>
  </si>
  <si>
    <t>Distributor Income</t>
  </si>
  <si>
    <t>Plant - Distributor</t>
  </si>
  <si>
    <t>Distributor - Dealer</t>
  </si>
  <si>
    <t>BDF</t>
  </si>
  <si>
    <t>Outright Discount</t>
  </si>
  <si>
    <t>COD Discount</t>
  </si>
  <si>
    <t>Ktech&amp;Sales Incentives</t>
  </si>
  <si>
    <t>UNO+ Prestarter</t>
  </si>
  <si>
    <t>UNO+ Starter</t>
  </si>
  <si>
    <t>UNO+ Grower</t>
  </si>
  <si>
    <t>UNO+ Finisher</t>
  </si>
  <si>
    <t>UNO+ Premium Breeder</t>
  </si>
  <si>
    <t>UNO+ Premium Lactating</t>
  </si>
  <si>
    <t>Stargain Lines</t>
  </si>
  <si>
    <t>Discounting</t>
  </si>
  <si>
    <t>Ktech&amp;SR Incentives</t>
  </si>
  <si>
    <t>Stargain Starter</t>
  </si>
  <si>
    <t>Stargain Grower</t>
  </si>
  <si>
    <t>Stargain Finisher</t>
  </si>
  <si>
    <t>Stargain Breeder</t>
  </si>
  <si>
    <t>Stargain Lactating</t>
  </si>
  <si>
    <t>Gamefowl Feeds</t>
  </si>
  <si>
    <t>EX DAVAO Plant Price</t>
  </si>
  <si>
    <t>Net</t>
  </si>
  <si>
    <t xml:space="preserve">Add </t>
  </si>
  <si>
    <t>NET</t>
  </si>
  <si>
    <t xml:space="preserve">SRP </t>
  </si>
  <si>
    <t>PRICE BEFORE CBD</t>
  </si>
  <si>
    <t>PBD</t>
  </si>
  <si>
    <t>FTH</t>
  </si>
  <si>
    <t>Dist. to Dealer</t>
  </si>
  <si>
    <t>Sales</t>
  </si>
  <si>
    <t xml:space="preserve">Bus. Devt </t>
  </si>
  <si>
    <t>Dealer</t>
  </si>
  <si>
    <t xml:space="preserve">Cash </t>
  </si>
  <si>
    <t>Ktech/SR</t>
  </si>
  <si>
    <t>Discount  5%</t>
  </si>
  <si>
    <t>Discount</t>
  </si>
  <si>
    <t>BAG</t>
  </si>
  <si>
    <t>KILO</t>
  </si>
  <si>
    <t>Supremo Infinity 1 - Chick Booster Crumble</t>
  </si>
  <si>
    <t>Supremo Infinity 2 - Chick Grower Crumble</t>
  </si>
  <si>
    <t>Supremo Inifinty 2.1 -Developer - 3 Grains</t>
  </si>
  <si>
    <t>Supremo Inifinty 3 - Maintainance Pellets -15% CP</t>
  </si>
  <si>
    <t>Supremo Inifinty 3 - Maintainance Pellets -15% CP w/ Grains</t>
  </si>
  <si>
    <t>Supremo Inifinty 4 - Breeder Pellets</t>
  </si>
  <si>
    <t>Supremo Inifinty Ready Mix - Grains + Pellets (RED) 50kg</t>
  </si>
  <si>
    <t>Supremo Inifinty Ready Mix - Grains + Pellets (RED) 25kg</t>
  </si>
  <si>
    <t>Supremo Infinity 1 Booster</t>
  </si>
  <si>
    <t>Supremo Infinity 2 Grower</t>
  </si>
  <si>
    <t>Supremo Infinity 2.1 Devoloper +</t>
  </si>
  <si>
    <t>Supremo Infinity 4 Breeder</t>
  </si>
  <si>
    <t>Supremo Infinity Ready Mix red</t>
  </si>
  <si>
    <t>Supremo Infinity 23 Conditioning</t>
  </si>
  <si>
    <t>Supremo Fortifier 32 Pellets - 32% CP</t>
  </si>
  <si>
    <t>Supremo Infinity Power Concentrate</t>
  </si>
  <si>
    <t>Supremo Infinity Super Conditioner</t>
  </si>
  <si>
    <t>EX-PLANT DAVAO</t>
  </si>
  <si>
    <t>PRICE MATRIX</t>
  </si>
  <si>
    <t>TOPBREED PET FOOD</t>
  </si>
  <si>
    <t>ADD</t>
  </si>
  <si>
    <t>Tactical Fund</t>
  </si>
  <si>
    <t>OD</t>
  </si>
  <si>
    <t>Special</t>
  </si>
  <si>
    <t>VAT</t>
  </si>
  <si>
    <t>Dist. - Dealer</t>
  </si>
  <si>
    <t>DEALS</t>
  </si>
  <si>
    <t>Topbreed Dog Puppy 20kg</t>
  </si>
  <si>
    <t>Topbreed Dog Adult 20kg</t>
  </si>
  <si>
    <t>Topbreed Dog Adult Mini 20kg</t>
  </si>
  <si>
    <t>Topbreed Cat Adult 20kg</t>
  </si>
  <si>
    <t>Topbreed Dog Adult 5kg</t>
  </si>
  <si>
    <t>20 + 1 bag</t>
  </si>
  <si>
    <t>Topbreed Dog Adult Mini 5kg</t>
  </si>
  <si>
    <t>Topbreed Cat Adult 5kg</t>
  </si>
  <si>
    <t>Topbreed Dog Puppy 2kg x 10</t>
  </si>
  <si>
    <t>Gravy Chunks (Beef / Chicken)</t>
  </si>
  <si>
    <t>Cat Litter</t>
  </si>
  <si>
    <t>PRODUCT CODE</t>
  </si>
  <si>
    <t>Packaging</t>
  </si>
  <si>
    <t>Invoice Price            Ex - Bukidnon Plant</t>
  </si>
  <si>
    <t>DISCOUNT</t>
  </si>
  <si>
    <t>NET PRICE (VAT - EX)</t>
  </si>
  <si>
    <t>NET PRICE +</t>
  </si>
  <si>
    <r>
      <t xml:space="preserve">Deal  (URC - </t>
    </r>
    <r>
      <rPr>
        <b/>
        <sz val="8"/>
        <rFont val="Arial Nova"/>
        <family val="2"/>
      </rPr>
      <t>DISTRIBUTOR</t>
    </r>
    <r>
      <rPr>
        <b/>
        <sz val="10"/>
        <rFont val="Arial Nova"/>
        <family val="2"/>
      </rPr>
      <t>)</t>
    </r>
  </si>
  <si>
    <t>Distributor</t>
  </si>
  <si>
    <t>OUTRIGHT</t>
  </si>
  <si>
    <t>Deal (distributor - dealer)</t>
  </si>
  <si>
    <t xml:space="preserve">DEALERS </t>
  </si>
  <si>
    <t>LESS 20%</t>
  </si>
  <si>
    <t>LESS 10%</t>
  </si>
  <si>
    <t>12% vat</t>
  </si>
  <si>
    <t>SRP</t>
  </si>
  <si>
    <t>ACQUISITION</t>
  </si>
  <si>
    <t>GALLISTAT  K  Powder</t>
  </si>
  <si>
    <t>2.27kgs.</t>
  </si>
  <si>
    <t>5 + 1</t>
  </si>
  <si>
    <t>6 +1</t>
  </si>
  <si>
    <t xml:space="preserve">COCCIBUSTER </t>
  </si>
  <si>
    <t>5g.</t>
  </si>
  <si>
    <t>10 + 2</t>
  </si>
  <si>
    <t>10 + 1</t>
  </si>
  <si>
    <t>LEVOMAX</t>
  </si>
  <si>
    <t>SPECTRUM</t>
  </si>
  <si>
    <t>2kgs.</t>
  </si>
  <si>
    <t>110g.</t>
  </si>
  <si>
    <t>SPECTRUM PLUS</t>
  </si>
  <si>
    <t>ROBISTREP VK Powder</t>
  </si>
  <si>
    <t>25g.</t>
  </si>
  <si>
    <t>WORM BUSTER</t>
  </si>
  <si>
    <t>10g.</t>
  </si>
  <si>
    <t>ROBIDOXIN  Powder</t>
  </si>
  <si>
    <t>TRIPLE  V  Powder</t>
  </si>
  <si>
    <t>VITAFURACIN  Powder</t>
  </si>
  <si>
    <t>ROBIGENXYN  P</t>
  </si>
  <si>
    <t>50 ds w/ diluent</t>
  </si>
  <si>
    <t>10dose</t>
  </si>
  <si>
    <t>ROBI  LA  Inj.</t>
  </si>
  <si>
    <t>100 ml</t>
  </si>
  <si>
    <t>ROBIPENSTREP  P</t>
  </si>
  <si>
    <t>10 ds w/ diluent</t>
  </si>
  <si>
    <t>Single dose</t>
  </si>
  <si>
    <t xml:space="preserve">IRON  -  D  Inj. </t>
  </si>
  <si>
    <t>IRON  D SUPRA  Injectible</t>
  </si>
  <si>
    <t>ROBICOMJECT  Injectible</t>
  </si>
  <si>
    <t>TRIPULAC  Pig  Doser</t>
  </si>
  <si>
    <t>2 x 100ml (disp.)</t>
  </si>
  <si>
    <t xml:space="preserve">MICROBE Fighter 55 </t>
  </si>
  <si>
    <t>4 liters</t>
  </si>
  <si>
    <t xml:space="preserve">100ml </t>
  </si>
  <si>
    <t>PICK-</t>
  </si>
  <si>
    <t>UP</t>
  </si>
  <si>
    <t>WHEAT GERM /BOX</t>
  </si>
  <si>
    <t>300g</t>
  </si>
  <si>
    <t>No Deal</t>
  </si>
  <si>
    <t>200g</t>
  </si>
  <si>
    <t>100g</t>
  </si>
  <si>
    <t>300g+200g</t>
  </si>
  <si>
    <t>PACKAGING</t>
  </si>
  <si>
    <t>Invoice Price</t>
  </si>
  <si>
    <t>LESS 5%</t>
  </si>
  <si>
    <t>NET PRICE</t>
  </si>
  <si>
    <t>Ex-Luzon plant</t>
  </si>
  <si>
    <t>Volume discount</t>
  </si>
  <si>
    <t>Pick-up</t>
  </si>
  <si>
    <t>SCM #00888 (Vit. A,D3,E)</t>
  </si>
  <si>
    <t>1liters</t>
  </si>
  <si>
    <t>SCM #0213 (Tiamulin 10%)</t>
  </si>
  <si>
    <t>20kgs.</t>
  </si>
  <si>
    <t>SCM #00890 (ENRO 10%)</t>
  </si>
  <si>
    <t>SCM #00895 (ENRO 20%)</t>
  </si>
  <si>
    <t>1Liters</t>
  </si>
  <si>
    <t>SCM 912 PENSTREP P - LA</t>
  </si>
  <si>
    <t>SCM 926 (Vit. A,D3, E + C)</t>
  </si>
  <si>
    <t>SCM #00897 (Iron-D Ultima + B12)</t>
  </si>
  <si>
    <t>100ml</t>
  </si>
  <si>
    <t>SCM #00898 (Enro 15%)</t>
  </si>
  <si>
    <t>SCM 931 PEN. POTASSIUM</t>
  </si>
  <si>
    <t>SCM 00915 B- Complex</t>
  </si>
  <si>
    <t>SCM 911 ROBIGENXYN P</t>
  </si>
  <si>
    <t>50dose</t>
  </si>
  <si>
    <t>SCM #00910 LA</t>
  </si>
  <si>
    <t>SCM 0213 TIAMULIN 10%</t>
  </si>
  <si>
    <t>ROBOPHOS</t>
  </si>
  <si>
    <t>1 Liter</t>
  </si>
  <si>
    <t>DEALERS DISCOUNT</t>
  </si>
  <si>
    <t>Volume Discount</t>
  </si>
  <si>
    <t>PD</t>
  </si>
  <si>
    <t>PBD 5%</t>
  </si>
  <si>
    <t>NET PRICE    (VAT - EX)</t>
  </si>
  <si>
    <t>TopB + Multivitamins</t>
  </si>
  <si>
    <t>120ml x 18bottles</t>
  </si>
  <si>
    <t>60ml x 36bottles</t>
  </si>
  <si>
    <t xml:space="preserve">Shampooch </t>
  </si>
  <si>
    <t>1Liter x 6Liters</t>
  </si>
  <si>
    <t>300ml x 12bottles</t>
  </si>
  <si>
    <t>15ml x 25sachets x 16box</t>
  </si>
  <si>
    <t>Supremo Infinity 2.1 Stag Developer Pellet &amp; Grains</t>
  </si>
  <si>
    <t>SI 2.1</t>
  </si>
  <si>
    <t>50kgs.</t>
  </si>
  <si>
    <t>Supremo Infinity 3 Maintenance Pellet</t>
  </si>
  <si>
    <t>SI 3</t>
  </si>
  <si>
    <t>Supremo Infinity Ready Mix Maintence Pellet &amp; Grains</t>
  </si>
  <si>
    <t>SIRM25</t>
  </si>
  <si>
    <t>25kgs.</t>
  </si>
  <si>
    <t>SI 2.1 - 25</t>
  </si>
  <si>
    <t>25x1kg.</t>
  </si>
  <si>
    <t>Top Breed Dog Meal Puppy</t>
  </si>
  <si>
    <t>TBP</t>
  </si>
  <si>
    <t>Top Breed Dog Meal Adult</t>
  </si>
  <si>
    <t>TBA</t>
  </si>
  <si>
    <t xml:space="preserve">TopCat </t>
  </si>
  <si>
    <t>TCA</t>
  </si>
  <si>
    <t>Cat Litter L</t>
  </si>
  <si>
    <t>Cat Litter C</t>
  </si>
  <si>
    <t>10L x 3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</si>
</sst>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,##0.00;[Red]#,##0.00"/>
    <numFmt numFmtId="166" formatCode="&quot;₱&quot;#,##0.00;[Red]&quot;₱&quot;#,##0.00"/>
    <numFmt numFmtId="167" formatCode="&quot;₱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72 Black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ova"/>
      <family val="2"/>
    </font>
    <font>
      <b/>
      <sz val="10"/>
      <name val="Arial Nova"/>
      <family val="2"/>
    </font>
    <font>
      <b/>
      <sz val="8"/>
      <name val="Arial Nova"/>
      <family val="2"/>
    </font>
    <font>
      <sz val="10"/>
      <name val="Arial Nova"/>
      <family val="2"/>
    </font>
    <font>
      <b/>
      <sz val="9"/>
      <name val="Arial Nova"/>
      <family val="2"/>
    </font>
    <font>
      <sz val="11"/>
      <name val="Arial Nova"/>
      <family val="2"/>
    </font>
    <font>
      <sz val="9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sz val="10"/>
      <color theme="1"/>
      <name val="Bahnschrift"/>
      <family val="2"/>
    </font>
    <font>
      <sz val="11"/>
      <color theme="1"/>
      <name val="Arial Nov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336">
    <xf numFmtId="0" fontId="0" fillId="0" borderId="0" xfId="0"/>
    <xf numFmtId="165" fontId="3" fillId="2" borderId="1" xfId="0" applyNumberFormat="1" applyFont="1" applyFill="1" applyBorder="1" applyAlignment="1">
      <alignment horizontal="left"/>
    </xf>
    <xf numFmtId="166" fontId="4" fillId="2" borderId="2" xfId="0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7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10" fontId="0" fillId="0" borderId="0" xfId="2" applyNumberFormat="1" applyFont="1" applyAlignment="1">
      <alignment horizontal="left"/>
    </xf>
    <xf numFmtId="15" fontId="3" fillId="3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166" fontId="3" fillId="2" borderId="26" xfId="1" applyNumberFormat="1" applyFont="1" applyFill="1" applyBorder="1" applyAlignment="1">
      <alignment horizontal="left"/>
    </xf>
    <xf numFmtId="166" fontId="0" fillId="2" borderId="26" xfId="0" applyNumberFormat="1" applyFill="1" applyBorder="1" applyAlignment="1">
      <alignment horizontal="left"/>
    </xf>
    <xf numFmtId="9" fontId="0" fillId="2" borderId="27" xfId="2" applyFont="1" applyFill="1" applyBorder="1" applyAlignment="1">
      <alignment horizontal="left"/>
    </xf>
    <xf numFmtId="166" fontId="4" fillId="2" borderId="26" xfId="0" applyNumberFormat="1" applyFont="1" applyFill="1" applyBorder="1" applyAlignment="1">
      <alignment horizontal="right"/>
    </xf>
    <xf numFmtId="166" fontId="4" fillId="6" borderId="26" xfId="0" applyNumberFormat="1" applyFont="1" applyFill="1" applyBorder="1" applyAlignment="1">
      <alignment horizontal="right"/>
    </xf>
    <xf numFmtId="166" fontId="4" fillId="2" borderId="28" xfId="0" applyNumberFormat="1" applyFont="1" applyFill="1" applyBorder="1" applyAlignment="1">
      <alignment horizontal="right"/>
    </xf>
    <xf numFmtId="166" fontId="7" fillId="2" borderId="27" xfId="0" applyNumberFormat="1" applyFont="1" applyFill="1" applyBorder="1" applyAlignment="1">
      <alignment horizontal="right"/>
    </xf>
    <xf numFmtId="167" fontId="3" fillId="2" borderId="29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5" fontId="3" fillId="2" borderId="30" xfId="0" applyNumberFormat="1" applyFont="1" applyFill="1" applyBorder="1" applyAlignment="1">
      <alignment horizontal="left"/>
    </xf>
    <xf numFmtId="166" fontId="3" fillId="2" borderId="9" xfId="1" applyNumberFormat="1" applyFont="1" applyFill="1" applyBorder="1" applyAlignment="1">
      <alignment horizontal="left"/>
    </xf>
    <xf numFmtId="166" fontId="0" fillId="2" borderId="18" xfId="0" applyNumberFormat="1" applyFill="1" applyBorder="1" applyAlignment="1">
      <alignment horizontal="left"/>
    </xf>
    <xf numFmtId="9" fontId="0" fillId="2" borderId="19" xfId="2" applyFont="1" applyFill="1" applyBorder="1" applyAlignment="1">
      <alignment horizontal="left"/>
    </xf>
    <xf numFmtId="166" fontId="4" fillId="2" borderId="20" xfId="0" applyNumberFormat="1" applyFont="1" applyFill="1" applyBorder="1" applyAlignment="1">
      <alignment horizontal="right"/>
    </xf>
    <xf numFmtId="166" fontId="4" fillId="2" borderId="18" xfId="0" applyNumberFormat="1" applyFont="1" applyFill="1" applyBorder="1" applyAlignment="1">
      <alignment horizontal="right"/>
    </xf>
    <xf numFmtId="166" fontId="4" fillId="6" borderId="18" xfId="0" applyNumberFormat="1" applyFont="1" applyFill="1" applyBorder="1" applyAlignment="1">
      <alignment horizontal="right"/>
    </xf>
    <xf numFmtId="166" fontId="4" fillId="2" borderId="9" xfId="0" applyNumberFormat="1" applyFont="1" applyFill="1" applyBorder="1" applyAlignment="1">
      <alignment horizontal="right"/>
    </xf>
    <xf numFmtId="166" fontId="7" fillId="2" borderId="19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167" fontId="3" fillId="2" borderId="31" xfId="0" applyNumberFormat="1" applyFont="1" applyFill="1" applyBorder="1" applyAlignment="1">
      <alignment horizontal="right"/>
    </xf>
    <xf numFmtId="166" fontId="4" fillId="2" borderId="32" xfId="0" applyNumberFormat="1" applyFont="1" applyFill="1" applyBorder="1" applyAlignment="1">
      <alignment horizontal="right"/>
    </xf>
    <xf numFmtId="166" fontId="4" fillId="2" borderId="3" xfId="0" applyNumberFormat="1" applyFont="1" applyFill="1" applyBorder="1" applyAlignment="1">
      <alignment horizontal="right"/>
    </xf>
    <xf numFmtId="165" fontId="3" fillId="2" borderId="33" xfId="0" applyNumberFormat="1" applyFont="1" applyFill="1" applyBorder="1" applyAlignment="1">
      <alignment horizontal="left"/>
    </xf>
    <xf numFmtId="166" fontId="3" fillId="2" borderId="18" xfId="1" applyNumberFormat="1" applyFont="1" applyFill="1" applyBorder="1" applyAlignment="1">
      <alignment horizontal="left"/>
    </xf>
    <xf numFmtId="165" fontId="0" fillId="2" borderId="0" xfId="0" applyNumberFormat="1" applyFill="1" applyAlignment="1">
      <alignment horizontal="left"/>
    </xf>
    <xf numFmtId="167" fontId="0" fillId="2" borderId="0" xfId="0" applyNumberForma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0" fontId="3" fillId="3" borderId="34" xfId="0" applyFont="1" applyFill="1" applyBorder="1" applyAlignment="1">
      <alignment horizontal="center" vertical="center"/>
    </xf>
    <xf numFmtId="17" fontId="3" fillId="3" borderId="35" xfId="0" applyNumberFormat="1" applyFont="1" applyFill="1" applyBorder="1" applyAlignment="1">
      <alignment horizontal="left" vertical="center" wrapText="1"/>
    </xf>
    <xf numFmtId="0" fontId="3" fillId="3" borderId="35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3" borderId="38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left" vertical="center"/>
    </xf>
    <xf numFmtId="0" fontId="3" fillId="5" borderId="40" xfId="0" applyFont="1" applyFill="1" applyBorder="1" applyAlignment="1">
      <alignment horizontal="left" vertical="center"/>
    </xf>
    <xf numFmtId="166" fontId="7" fillId="2" borderId="41" xfId="0" applyNumberFormat="1" applyFont="1" applyFill="1" applyBorder="1" applyAlignment="1">
      <alignment horizontal="right"/>
    </xf>
    <xf numFmtId="167" fontId="3" fillId="2" borderId="42" xfId="0" applyNumberFormat="1" applyFont="1" applyFill="1" applyBorder="1" applyAlignment="1">
      <alignment horizontal="right"/>
    </xf>
    <xf numFmtId="166" fontId="0" fillId="2" borderId="9" xfId="0" applyNumberFormat="1" applyFill="1" applyBorder="1" applyAlignment="1">
      <alignment horizontal="left"/>
    </xf>
    <xf numFmtId="9" fontId="0" fillId="2" borderId="10" xfId="2" applyFont="1" applyFill="1" applyBorder="1" applyAlignment="1">
      <alignment horizontal="left"/>
    </xf>
    <xf numFmtId="166" fontId="4" fillId="2" borderId="11" xfId="0" applyNumberFormat="1" applyFont="1" applyFill="1" applyBorder="1" applyAlignment="1">
      <alignment horizontal="right"/>
    </xf>
    <xf numFmtId="166" fontId="4" fillId="6" borderId="9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43" xfId="0" applyNumberFormat="1" applyFont="1" applyFill="1" applyBorder="1" applyAlignment="1">
      <alignment horizontal="right"/>
    </xf>
    <xf numFmtId="166" fontId="7" fillId="2" borderId="24" xfId="0" applyNumberFormat="1" applyFont="1" applyFill="1" applyBorder="1" applyAlignment="1">
      <alignment horizontal="right"/>
    </xf>
    <xf numFmtId="166" fontId="0" fillId="2" borderId="44" xfId="0" applyNumberFormat="1" applyFill="1" applyBorder="1" applyAlignment="1">
      <alignment horizontal="left"/>
    </xf>
    <xf numFmtId="0" fontId="0" fillId="2" borderId="45" xfId="0" applyFill="1" applyBorder="1" applyAlignment="1">
      <alignment horizontal="left"/>
    </xf>
    <xf numFmtId="167" fontId="3" fillId="2" borderId="46" xfId="0" applyNumberFormat="1" applyFont="1" applyFill="1" applyBorder="1" applyAlignment="1">
      <alignment horizontal="right"/>
    </xf>
    <xf numFmtId="166" fontId="3" fillId="2" borderId="0" xfId="1" applyNumberFormat="1" applyFont="1" applyFill="1" applyBorder="1" applyAlignment="1">
      <alignment horizontal="left"/>
    </xf>
    <xf numFmtId="166" fontId="0" fillId="2" borderId="0" xfId="0" applyNumberFormat="1" applyFill="1" applyAlignment="1">
      <alignment horizontal="left"/>
    </xf>
    <xf numFmtId="9" fontId="0" fillId="2" borderId="0" xfId="2" applyFont="1" applyFill="1" applyBorder="1" applyAlignment="1">
      <alignment horizontal="left"/>
    </xf>
    <xf numFmtId="166" fontId="4" fillId="2" borderId="0" xfId="0" applyNumberFormat="1" applyFont="1" applyFill="1" applyAlignment="1">
      <alignment horizontal="left"/>
    </xf>
    <xf numFmtId="166" fontId="7" fillId="2" borderId="0" xfId="0" applyNumberFormat="1" applyFont="1" applyFill="1" applyAlignment="1">
      <alignment horizontal="left"/>
    </xf>
    <xf numFmtId="0" fontId="3" fillId="7" borderId="34" xfId="0" applyFont="1" applyFill="1" applyBorder="1" applyAlignment="1">
      <alignment horizontal="center" vertical="center"/>
    </xf>
    <xf numFmtId="17" fontId="3" fillId="7" borderId="35" xfId="0" applyNumberFormat="1" applyFont="1" applyFill="1" applyBorder="1" applyAlignment="1">
      <alignment horizontal="left" vertical="center" wrapText="1"/>
    </xf>
    <xf numFmtId="0" fontId="3" fillId="7" borderId="35" xfId="0" applyFont="1" applyFill="1" applyBorder="1" applyAlignment="1">
      <alignment horizontal="left" vertical="center"/>
    </xf>
    <xf numFmtId="0" fontId="3" fillId="7" borderId="36" xfId="0" applyFont="1" applyFill="1" applyBorder="1" applyAlignment="1">
      <alignment horizontal="left" vertical="center"/>
    </xf>
    <xf numFmtId="0" fontId="3" fillId="7" borderId="38" xfId="0" applyFont="1" applyFill="1" applyBorder="1" applyAlignment="1">
      <alignment horizontal="left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left" vertical="center" wrapText="1"/>
    </xf>
    <xf numFmtId="0" fontId="3" fillId="7" borderId="39" xfId="0" applyFont="1" applyFill="1" applyBorder="1" applyAlignment="1">
      <alignment horizontal="left" vertical="center" wrapText="1"/>
    </xf>
    <xf numFmtId="0" fontId="3" fillId="7" borderId="40" xfId="0" applyFont="1" applyFill="1" applyBorder="1" applyAlignment="1">
      <alignment horizontal="left" vertical="center"/>
    </xf>
    <xf numFmtId="165" fontId="0" fillId="0" borderId="2" xfId="0" applyNumberFormat="1" applyBorder="1" applyAlignment="1">
      <alignment horizontal="left"/>
    </xf>
    <xf numFmtId="166" fontId="3" fillId="3" borderId="26" xfId="1" applyNumberFormat="1" applyFont="1" applyFill="1" applyBorder="1" applyAlignment="1">
      <alignment horizontal="left"/>
    </xf>
    <xf numFmtId="166" fontId="0" fillId="0" borderId="26" xfId="0" applyNumberFormat="1" applyBorder="1" applyAlignment="1">
      <alignment horizontal="left"/>
    </xf>
    <xf numFmtId="9" fontId="0" fillId="0" borderId="27" xfId="2" applyFont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6" fontId="0" fillId="0" borderId="28" xfId="0" applyNumberFormat="1" applyBorder="1" applyAlignment="1">
      <alignment horizontal="left"/>
    </xf>
    <xf numFmtId="166" fontId="3" fillId="2" borderId="27" xfId="0" applyNumberFormat="1" applyFont="1" applyFill="1" applyBorder="1" applyAlignment="1">
      <alignment horizontal="left"/>
    </xf>
    <xf numFmtId="167" fontId="0" fillId="0" borderId="31" xfId="0" applyNumberFormat="1" applyBorder="1" applyAlignment="1">
      <alignment horizontal="left"/>
    </xf>
    <xf numFmtId="165" fontId="0" fillId="0" borderId="11" xfId="0" applyNumberFormat="1" applyBorder="1" applyAlignment="1">
      <alignment horizontal="left"/>
    </xf>
    <xf numFmtId="166" fontId="3" fillId="3" borderId="9" xfId="1" applyNumberFormat="1" applyFont="1" applyFill="1" applyBorder="1" applyAlignment="1">
      <alignment horizontal="left"/>
    </xf>
    <xf numFmtId="166" fontId="0" fillId="0" borderId="9" xfId="0" applyNumberFormat="1" applyBorder="1" applyAlignment="1">
      <alignment horizontal="left"/>
    </xf>
    <xf numFmtId="9" fontId="0" fillId="0" borderId="10" xfId="2" applyFont="1" applyBorder="1" applyAlignment="1">
      <alignment horizontal="left"/>
    </xf>
    <xf numFmtId="166" fontId="0" fillId="3" borderId="11" xfId="0" applyNumberFormat="1" applyFill="1" applyBorder="1" applyAlignment="1">
      <alignment horizontal="left"/>
    </xf>
    <xf numFmtId="166" fontId="0" fillId="0" borderId="47" xfId="0" applyNumberFormat="1" applyBorder="1" applyAlignment="1">
      <alignment horizontal="left"/>
    </xf>
    <xf numFmtId="166" fontId="0" fillId="0" borderId="12" xfId="0" applyNumberFormat="1" applyBorder="1" applyAlignment="1">
      <alignment horizontal="left"/>
    </xf>
    <xf numFmtId="166" fontId="3" fillId="2" borderId="10" xfId="0" applyNumberFormat="1" applyFont="1" applyFill="1" applyBorder="1" applyAlignment="1">
      <alignment horizontal="left"/>
    </xf>
    <xf numFmtId="165" fontId="3" fillId="2" borderId="11" xfId="0" applyNumberFormat="1" applyFont="1" applyFill="1" applyBorder="1" applyAlignment="1">
      <alignment horizontal="left"/>
    </xf>
    <xf numFmtId="166" fontId="0" fillId="2" borderId="32" xfId="0" applyNumberFormat="1" applyFill="1" applyBorder="1" applyAlignment="1">
      <alignment horizontal="left"/>
    </xf>
    <xf numFmtId="9" fontId="0" fillId="2" borderId="48" xfId="2" applyFont="1" applyFill="1" applyBorder="1" applyAlignment="1">
      <alignment horizontal="left"/>
    </xf>
    <xf numFmtId="166" fontId="4" fillId="2" borderId="49" xfId="0" applyNumberFormat="1" applyFont="1" applyFill="1" applyBorder="1" applyAlignment="1">
      <alignment horizontal="right"/>
    </xf>
    <xf numFmtId="166" fontId="7" fillId="2" borderId="48" xfId="0" applyNumberFormat="1" applyFont="1" applyFill="1" applyBorder="1" applyAlignment="1">
      <alignment horizontal="right"/>
    </xf>
    <xf numFmtId="165" fontId="3" fillId="2" borderId="49" xfId="0" applyNumberFormat="1" applyFont="1" applyFill="1" applyBorder="1" applyAlignment="1">
      <alignment horizontal="left"/>
    </xf>
    <xf numFmtId="166" fontId="3" fillId="2" borderId="32" xfId="1" applyNumberFormat="1" applyFont="1" applyFill="1" applyBorder="1" applyAlignment="1">
      <alignment horizontal="left"/>
    </xf>
    <xf numFmtId="166" fontId="0" fillId="2" borderId="49" xfId="0" applyNumberFormat="1" applyFill="1" applyBorder="1" applyAlignment="1">
      <alignment horizontal="right"/>
    </xf>
    <xf numFmtId="166" fontId="0" fillId="2" borderId="32" xfId="0" applyNumberFormat="1" applyFill="1" applyBorder="1" applyAlignment="1">
      <alignment horizontal="right"/>
    </xf>
    <xf numFmtId="166" fontId="3" fillId="2" borderId="10" xfId="0" applyNumberFormat="1" applyFont="1" applyFill="1" applyBorder="1" applyAlignment="1">
      <alignment horizontal="right"/>
    </xf>
    <xf numFmtId="165" fontId="3" fillId="2" borderId="50" xfId="0" applyNumberFormat="1" applyFont="1" applyFill="1" applyBorder="1" applyAlignment="1">
      <alignment horizontal="left"/>
    </xf>
    <xf numFmtId="166" fontId="3" fillId="2" borderId="51" xfId="1" applyNumberFormat="1" applyFont="1" applyFill="1" applyBorder="1" applyAlignment="1">
      <alignment horizontal="left"/>
    </xf>
    <xf numFmtId="166" fontId="0" fillId="2" borderId="51" xfId="0" applyNumberFormat="1" applyFill="1" applyBorder="1" applyAlignment="1">
      <alignment horizontal="left"/>
    </xf>
    <xf numFmtId="9" fontId="0" fillId="2" borderId="52" xfId="2" applyFont="1" applyFill="1" applyBorder="1" applyAlignment="1">
      <alignment horizontal="left"/>
    </xf>
    <xf numFmtId="0" fontId="0" fillId="2" borderId="53" xfId="0" applyFill="1" applyBorder="1" applyAlignment="1">
      <alignment horizontal="left"/>
    </xf>
    <xf numFmtId="166" fontId="4" fillId="2" borderId="50" xfId="0" applyNumberFormat="1" applyFont="1" applyFill="1" applyBorder="1" applyAlignment="1">
      <alignment horizontal="right"/>
    </xf>
    <xf numFmtId="166" fontId="4" fillId="2" borderId="51" xfId="0" applyNumberFormat="1" applyFont="1" applyFill="1" applyBorder="1" applyAlignment="1">
      <alignment horizontal="right"/>
    </xf>
    <xf numFmtId="0" fontId="0" fillId="2" borderId="45" xfId="0" applyFill="1" applyBorder="1" applyAlignment="1">
      <alignment horizontal="right"/>
    </xf>
    <xf numFmtId="0" fontId="4" fillId="2" borderId="0" xfId="0" applyFont="1" applyFill="1"/>
    <xf numFmtId="0" fontId="2" fillId="2" borderId="0" xfId="0" applyFont="1" applyFill="1"/>
    <xf numFmtId="0" fontId="7" fillId="2" borderId="0" xfId="0" applyFont="1" applyFill="1"/>
    <xf numFmtId="0" fontId="7" fillId="2" borderId="32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/>
    </xf>
    <xf numFmtId="0" fontId="7" fillId="2" borderId="5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166" fontId="7" fillId="0" borderId="62" xfId="1" applyNumberFormat="1" applyFont="1" applyBorder="1" applyAlignment="1">
      <alignment horizontal="center"/>
    </xf>
    <xf numFmtId="166" fontId="4" fillId="2" borderId="9" xfId="0" applyNumberFormat="1" applyFont="1" applyFill="1" applyBorder="1" applyAlignment="1">
      <alignment horizontal="center"/>
    </xf>
    <xf numFmtId="166" fontId="4" fillId="3" borderId="9" xfId="0" applyNumberFormat="1" applyFont="1" applyFill="1" applyBorder="1" applyAlignment="1">
      <alignment horizontal="center"/>
    </xf>
    <xf numFmtId="166" fontId="4" fillId="2" borderId="26" xfId="0" applyNumberFormat="1" applyFont="1" applyFill="1" applyBorder="1" applyAlignment="1">
      <alignment horizontal="center"/>
    </xf>
    <xf numFmtId="166" fontId="4" fillId="2" borderId="28" xfId="0" applyNumberFormat="1" applyFont="1" applyFill="1" applyBorder="1" applyAlignment="1">
      <alignment horizontal="center"/>
    </xf>
    <xf numFmtId="166" fontId="4" fillId="3" borderId="26" xfId="0" applyNumberFormat="1" applyFont="1" applyFill="1" applyBorder="1" applyAlignment="1">
      <alignment horizontal="center"/>
    </xf>
    <xf numFmtId="0" fontId="0" fillId="0" borderId="31" xfId="0" applyBorder="1"/>
    <xf numFmtId="166" fontId="7" fillId="2" borderId="31" xfId="0" applyNumberFormat="1" applyFont="1" applyFill="1" applyBorder="1"/>
    <xf numFmtId="166" fontId="4" fillId="2" borderId="31" xfId="0" applyNumberFormat="1" applyFont="1" applyFill="1" applyBorder="1" applyAlignment="1">
      <alignment horizontal="center"/>
    </xf>
    <xf numFmtId="0" fontId="7" fillId="2" borderId="5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quotePrefix="1" applyFont="1" applyFill="1" applyAlignment="1">
      <alignment vertical="center"/>
    </xf>
    <xf numFmtId="17" fontId="7" fillId="3" borderId="8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166" fontId="7" fillId="0" borderId="62" xfId="1" applyNumberFormat="1" applyFont="1" applyBorder="1" applyAlignment="1">
      <alignment horizontal="center" vertical="center"/>
    </xf>
    <xf numFmtId="166" fontId="4" fillId="2" borderId="9" xfId="0" applyNumberFormat="1" applyFont="1" applyFill="1" applyBorder="1" applyAlignment="1">
      <alignment horizontal="center" vertical="center"/>
    </xf>
    <xf numFmtId="164" fontId="4" fillId="2" borderId="9" xfId="1" applyFont="1" applyFill="1" applyBorder="1" applyAlignment="1">
      <alignment horizontal="center" vertical="center"/>
    </xf>
    <xf numFmtId="166" fontId="4" fillId="3" borderId="9" xfId="0" applyNumberFormat="1" applyFont="1" applyFill="1" applyBorder="1" applyAlignment="1">
      <alignment horizontal="center" vertical="center"/>
    </xf>
    <xf numFmtId="166" fontId="4" fillId="2" borderId="26" xfId="0" applyNumberFormat="1" applyFont="1" applyFill="1" applyBorder="1" applyAlignment="1">
      <alignment horizontal="center" vertical="center"/>
    </xf>
    <xf numFmtId="166" fontId="4" fillId="2" borderId="28" xfId="0" applyNumberFormat="1" applyFont="1" applyFill="1" applyBorder="1" applyAlignment="1">
      <alignment horizontal="center" vertical="center"/>
    </xf>
    <xf numFmtId="166" fontId="7" fillId="2" borderId="29" xfId="0" applyNumberFormat="1" applyFont="1" applyFill="1" applyBorder="1" applyAlignment="1">
      <alignment vertical="center"/>
    </xf>
    <xf numFmtId="166" fontId="4" fillId="3" borderId="26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166" fontId="7" fillId="2" borderId="31" xfId="0" applyNumberFormat="1" applyFont="1" applyFill="1" applyBorder="1" applyAlignment="1">
      <alignment vertical="center"/>
    </xf>
    <xf numFmtId="0" fontId="0" fillId="0" borderId="31" xfId="0" applyBorder="1" applyAlignment="1">
      <alignment vertical="center" wrapText="1"/>
    </xf>
    <xf numFmtId="0" fontId="0" fillId="0" borderId="31" xfId="0" applyBorder="1" applyAlignment="1">
      <alignment horizontal="left" vertical="center"/>
    </xf>
    <xf numFmtId="166" fontId="4" fillId="2" borderId="31" xfId="0" applyNumberFormat="1" applyFont="1" applyFill="1" applyBorder="1" applyAlignment="1">
      <alignment horizontal="center" vertical="center"/>
    </xf>
    <xf numFmtId="164" fontId="0" fillId="8" borderId="63" xfId="1" applyFont="1" applyFill="1" applyBorder="1" applyAlignment="1">
      <alignment vertical="center"/>
    </xf>
    <xf numFmtId="0" fontId="0" fillId="0" borderId="64" xfId="0" applyBorder="1" applyAlignment="1">
      <alignment horizontal="left" vertical="center"/>
    </xf>
    <xf numFmtId="166" fontId="7" fillId="0" borderId="65" xfId="1" applyNumberFormat="1" applyFont="1" applyBorder="1" applyAlignment="1">
      <alignment horizontal="center" vertical="center"/>
    </xf>
    <xf numFmtId="0" fontId="7" fillId="2" borderId="66" xfId="0" applyFont="1" applyFill="1" applyBorder="1"/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64" xfId="0" applyFont="1" applyFill="1" applyBorder="1" applyAlignment="1">
      <alignment horizontal="center"/>
    </xf>
    <xf numFmtId="17" fontId="7" fillId="3" borderId="6" xfId="0" applyNumberFormat="1" applyFont="1" applyFill="1" applyBorder="1" applyAlignment="1">
      <alignment horizontal="center"/>
    </xf>
    <xf numFmtId="9" fontId="7" fillId="2" borderId="29" xfId="0" applyNumberFormat="1" applyFont="1" applyFill="1" applyBorder="1" applyAlignment="1">
      <alignment horizontal="center"/>
    </xf>
    <xf numFmtId="9" fontId="7" fillId="2" borderId="57" xfId="0" applyNumberFormat="1" applyFont="1" applyFill="1" applyBorder="1" applyAlignment="1">
      <alignment horizontal="center" vertical="center" wrapText="1"/>
    </xf>
    <xf numFmtId="164" fontId="4" fillId="2" borderId="12" xfId="1" applyFont="1" applyFill="1" applyBorder="1" applyAlignment="1">
      <alignment horizontal="center"/>
    </xf>
    <xf numFmtId="164" fontId="4" fillId="2" borderId="31" xfId="1" applyFont="1" applyFill="1" applyBorder="1" applyAlignment="1">
      <alignment horizontal="center"/>
    </xf>
    <xf numFmtId="165" fontId="0" fillId="0" borderId="0" xfId="0" applyNumberFormat="1"/>
    <xf numFmtId="10" fontId="0" fillId="0" borderId="0" xfId="0" applyNumberFormat="1"/>
    <xf numFmtId="0" fontId="3" fillId="0" borderId="31" xfId="0" applyFont="1" applyBorder="1" applyAlignment="1">
      <alignment horizontal="left" wrapText="1"/>
    </xf>
    <xf numFmtId="166" fontId="7" fillId="0" borderId="69" xfId="1" applyNumberFormat="1" applyFont="1" applyFill="1" applyBorder="1" applyAlignment="1">
      <alignment horizontal="center"/>
    </xf>
    <xf numFmtId="166" fontId="4" fillId="2" borderId="12" xfId="0" applyNumberFormat="1" applyFont="1" applyFill="1" applyBorder="1" applyAlignment="1">
      <alignment horizontal="center"/>
    </xf>
    <xf numFmtId="166" fontId="4" fillId="2" borderId="70" xfId="0" applyNumberFormat="1" applyFont="1" applyFill="1" applyBorder="1" applyAlignment="1">
      <alignment horizontal="center"/>
    </xf>
    <xf numFmtId="166" fontId="4" fillId="2" borderId="34" xfId="0" applyNumberFormat="1" applyFont="1" applyFill="1" applyBorder="1" applyAlignment="1">
      <alignment horizontal="center"/>
    </xf>
    <xf numFmtId="166" fontId="0" fillId="0" borderId="31" xfId="0" applyNumberFormat="1" applyBorder="1"/>
    <xf numFmtId="166" fontId="4" fillId="2" borderId="40" xfId="0" applyNumberFormat="1" applyFont="1" applyFill="1" applyBorder="1" applyAlignment="1">
      <alignment horizontal="center"/>
    </xf>
    <xf numFmtId="166" fontId="4" fillId="2" borderId="45" xfId="0" applyNumberFormat="1" applyFont="1" applyFill="1" applyBorder="1" applyAlignment="1">
      <alignment horizontal="center"/>
    </xf>
    <xf numFmtId="4" fontId="9" fillId="10" borderId="32" xfId="3" applyNumberFormat="1" applyFont="1" applyFill="1" applyBorder="1" applyAlignment="1">
      <alignment horizontal="center"/>
    </xf>
    <xf numFmtId="4" fontId="9" fillId="2" borderId="72" xfId="3" applyNumberFormat="1" applyFont="1" applyFill="1" applyBorder="1" applyAlignment="1">
      <alignment horizontal="center" vertical="center" wrapText="1"/>
    </xf>
    <xf numFmtId="4" fontId="12" fillId="2" borderId="54" xfId="3" applyNumberFormat="1" applyFont="1" applyFill="1" applyBorder="1" applyAlignment="1">
      <alignment horizontal="center"/>
    </xf>
    <xf numFmtId="4" fontId="12" fillId="2" borderId="0" xfId="3" applyNumberFormat="1" applyFont="1" applyFill="1" applyAlignment="1">
      <alignment horizontal="center"/>
    </xf>
    <xf numFmtId="4" fontId="12" fillId="2" borderId="0" xfId="3" applyNumberFormat="1" applyFont="1" applyFill="1"/>
    <xf numFmtId="4" fontId="9" fillId="2" borderId="3" xfId="3" applyNumberFormat="1" applyFont="1" applyFill="1" applyBorder="1" applyAlignment="1">
      <alignment horizontal="center"/>
    </xf>
    <xf numFmtId="4" fontId="9" fillId="2" borderId="12" xfId="3" applyNumberFormat="1" applyFont="1" applyFill="1" applyBorder="1" applyAlignment="1">
      <alignment horizontal="center"/>
    </xf>
    <xf numFmtId="4" fontId="9" fillId="10" borderId="26" xfId="3" applyNumberFormat="1" applyFont="1" applyFill="1" applyBorder="1" applyAlignment="1">
      <alignment horizontal="center"/>
    </xf>
    <xf numFmtId="4" fontId="9" fillId="2" borderId="74" xfId="3" applyNumberFormat="1" applyFont="1" applyFill="1" applyBorder="1" applyAlignment="1">
      <alignment horizontal="center" vertical="center" wrapText="1"/>
    </xf>
    <xf numFmtId="9" fontId="9" fillId="2" borderId="74" xfId="2" applyFont="1" applyFill="1" applyBorder="1" applyAlignment="1">
      <alignment horizontal="center" vertical="center" wrapText="1"/>
    </xf>
    <xf numFmtId="4" fontId="12" fillId="2" borderId="16" xfId="3" applyNumberFormat="1" applyFont="1" applyFill="1" applyBorder="1" applyAlignment="1">
      <alignment horizontal="center"/>
    </xf>
    <xf numFmtId="4" fontId="12" fillId="2" borderId="40" xfId="3" applyNumberFormat="1" applyFont="1" applyFill="1" applyBorder="1" applyAlignment="1">
      <alignment horizontal="center"/>
    </xf>
    <xf numFmtId="4" fontId="13" fillId="2" borderId="0" xfId="3" applyNumberFormat="1" applyFont="1" applyFill="1" applyAlignment="1">
      <alignment horizontal="center"/>
    </xf>
    <xf numFmtId="4" fontId="13" fillId="2" borderId="4" xfId="3" applyNumberFormat="1" applyFont="1" applyFill="1" applyBorder="1" applyAlignment="1">
      <alignment horizontal="center"/>
    </xf>
    <xf numFmtId="4" fontId="9" fillId="2" borderId="9" xfId="3" applyNumberFormat="1" applyFont="1" applyFill="1" applyBorder="1" applyAlignment="1">
      <alignment horizontal="left" vertical="center"/>
    </xf>
    <xf numFmtId="4" fontId="9" fillId="2" borderId="9" xfId="3" applyNumberFormat="1" applyFont="1" applyFill="1" applyBorder="1" applyAlignment="1">
      <alignment horizontal="center" vertical="center"/>
    </xf>
    <xf numFmtId="4" fontId="9" fillId="9" borderId="9" xfId="4" applyNumberFormat="1" applyFont="1" applyFill="1" applyBorder="1" applyAlignment="1">
      <alignment horizontal="center"/>
    </xf>
    <xf numFmtId="4" fontId="9" fillId="2" borderId="9" xfId="4" applyNumberFormat="1" applyFont="1" applyFill="1" applyBorder="1" applyAlignment="1">
      <alignment horizontal="center"/>
    </xf>
    <xf numFmtId="4" fontId="9" fillId="10" borderId="9" xfId="4" applyNumberFormat="1" applyFont="1" applyFill="1" applyBorder="1" applyAlignment="1">
      <alignment horizontal="center"/>
    </xf>
    <xf numFmtId="4" fontId="12" fillId="2" borderId="12" xfId="3" applyNumberFormat="1" applyFont="1" applyFill="1" applyBorder="1" applyAlignment="1">
      <alignment horizontal="center"/>
    </xf>
    <xf numFmtId="4" fontId="12" fillId="2" borderId="31" xfId="3" applyNumberFormat="1" applyFont="1" applyFill="1" applyBorder="1" applyAlignment="1">
      <alignment horizontal="center"/>
    </xf>
    <xf numFmtId="4" fontId="12" fillId="2" borderId="31" xfId="3" applyNumberFormat="1" applyFont="1" applyFill="1" applyBorder="1"/>
    <xf numFmtId="4" fontId="9" fillId="9" borderId="9" xfId="4" applyNumberFormat="1" applyFont="1" applyFill="1" applyBorder="1" applyAlignment="1">
      <alignment horizontal="center" vertical="center"/>
    </xf>
    <xf numFmtId="4" fontId="9" fillId="2" borderId="0" xfId="4" applyNumberFormat="1" applyFont="1" applyFill="1" applyBorder="1" applyAlignment="1">
      <alignment horizontal="center"/>
    </xf>
    <xf numFmtId="4" fontId="9" fillId="2" borderId="6" xfId="3" applyNumberFormat="1" applyFont="1" applyFill="1" applyBorder="1" applyAlignment="1">
      <alignment horizontal="center"/>
    </xf>
    <xf numFmtId="4" fontId="9" fillId="2" borderId="0" xfId="3" applyNumberFormat="1" applyFont="1" applyFill="1"/>
    <xf numFmtId="4" fontId="9" fillId="2" borderId="0" xfId="3" applyNumberFormat="1" applyFont="1" applyFill="1" applyAlignment="1">
      <alignment horizontal="center" vertical="center"/>
    </xf>
    <xf numFmtId="4" fontId="10" fillId="9" borderId="9" xfId="3" applyNumberFormat="1" applyFont="1" applyFill="1" applyBorder="1" applyAlignment="1">
      <alignment horizontal="center"/>
    </xf>
    <xf numFmtId="4" fontId="10" fillId="2" borderId="9" xfId="3" applyNumberFormat="1" applyFont="1" applyFill="1" applyBorder="1" applyAlignment="1">
      <alignment horizontal="center"/>
    </xf>
    <xf numFmtId="4" fontId="10" fillId="10" borderId="9" xfId="3" applyNumberFormat="1" applyFont="1" applyFill="1" applyBorder="1" applyAlignment="1">
      <alignment horizontal="center"/>
    </xf>
    <xf numFmtId="4" fontId="10" fillId="9" borderId="9" xfId="3" applyNumberFormat="1" applyFont="1" applyFill="1" applyBorder="1" applyAlignment="1">
      <alignment horizontal="center" wrapText="1"/>
    </xf>
    <xf numFmtId="4" fontId="10" fillId="2" borderId="9" xfId="3" applyNumberFormat="1" applyFont="1" applyFill="1" applyBorder="1" applyAlignment="1">
      <alignment horizontal="center" wrapText="1"/>
    </xf>
    <xf numFmtId="4" fontId="10" fillId="2" borderId="9" xfId="3" applyNumberFormat="1" applyFont="1" applyFill="1" applyBorder="1" applyAlignment="1">
      <alignment horizontal="center" vertical="center"/>
    </xf>
    <xf numFmtId="4" fontId="9" fillId="2" borderId="9" xfId="3" applyNumberFormat="1" applyFont="1" applyFill="1" applyBorder="1"/>
    <xf numFmtId="4" fontId="9" fillId="2" borderId="9" xfId="3" applyNumberFormat="1" applyFont="1" applyFill="1" applyBorder="1" applyAlignment="1">
      <alignment horizontal="center"/>
    </xf>
    <xf numFmtId="4" fontId="14" fillId="2" borderId="0" xfId="3" applyNumberFormat="1" applyFont="1" applyFill="1"/>
    <xf numFmtId="4" fontId="9" fillId="9" borderId="9" xfId="3" applyNumberFormat="1" applyFont="1" applyFill="1" applyBorder="1" applyAlignment="1">
      <alignment horizontal="center"/>
    </xf>
    <xf numFmtId="4" fontId="9" fillId="10" borderId="9" xfId="3" applyNumberFormat="1" applyFont="1" applyFill="1" applyBorder="1" applyAlignment="1">
      <alignment horizontal="center"/>
    </xf>
    <xf numFmtId="4" fontId="15" fillId="2" borderId="0" xfId="3" applyNumberFormat="1" applyFont="1" applyFill="1"/>
    <xf numFmtId="4" fontId="16" fillId="2" borderId="0" xfId="3" applyNumberFormat="1" applyFont="1" applyFill="1" applyAlignment="1">
      <alignment horizontal="left"/>
    </xf>
    <xf numFmtId="4" fontId="9" fillId="2" borderId="76" xfId="3" applyNumberFormat="1" applyFont="1" applyFill="1" applyBorder="1" applyAlignment="1">
      <alignment horizontal="center" vertical="center" wrapText="1"/>
    </xf>
    <xf numFmtId="4" fontId="9" fillId="2" borderId="77" xfId="3" applyNumberFormat="1" applyFont="1" applyFill="1" applyBorder="1" applyAlignment="1">
      <alignment horizontal="center" vertical="center" wrapText="1"/>
    </xf>
    <xf numFmtId="4" fontId="9" fillId="2" borderId="78" xfId="3" applyNumberFormat="1" applyFont="1" applyFill="1" applyBorder="1" applyAlignment="1">
      <alignment horizontal="center" vertical="center" wrapText="1"/>
    </xf>
    <xf numFmtId="4" fontId="9" fillId="2" borderId="79" xfId="3" applyNumberFormat="1" applyFont="1" applyFill="1" applyBorder="1" applyAlignment="1">
      <alignment horizontal="center" vertical="center" wrapText="1"/>
    </xf>
    <xf numFmtId="4" fontId="12" fillId="2" borderId="56" xfId="3" applyNumberFormat="1" applyFont="1" applyFill="1" applyBorder="1" applyAlignment="1">
      <alignment horizontal="center"/>
    </xf>
    <xf numFmtId="4" fontId="12" fillId="2" borderId="29" xfId="3" applyNumberFormat="1" applyFont="1" applyFill="1" applyBorder="1" applyAlignment="1">
      <alignment horizontal="center"/>
    </xf>
    <xf numFmtId="164" fontId="12" fillId="2" borderId="0" xfId="1" applyFont="1" applyFill="1"/>
    <xf numFmtId="164" fontId="12" fillId="2" borderId="0" xfId="1" applyFont="1" applyFill="1" applyAlignment="1">
      <alignment horizontal="center"/>
    </xf>
    <xf numFmtId="4" fontId="9" fillId="2" borderId="9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4" fontId="9" fillId="2" borderId="9" xfId="3" applyNumberFormat="1" applyFont="1" applyFill="1" applyBorder="1" applyAlignment="1">
      <alignment horizontal="center" vertical="center"/>
    </xf>
    <xf numFmtId="4" fontId="10" fillId="2" borderId="9" xfId="3" applyNumberFormat="1" applyFont="1" applyFill="1" applyBorder="1" applyAlignment="1">
      <alignment horizontal="center" vertical="center"/>
    </xf>
    <xf numFmtId="4" fontId="10" fillId="2" borderId="32" xfId="3" applyNumberFormat="1" applyFont="1" applyFill="1" applyBorder="1" applyAlignment="1">
      <alignment horizontal="center" vertical="center"/>
    </xf>
    <xf numFmtId="4" fontId="10" fillId="2" borderId="26" xfId="3" applyNumberFormat="1" applyFont="1" applyFill="1" applyBorder="1" applyAlignment="1">
      <alignment horizontal="center" vertical="center"/>
    </xf>
    <xf numFmtId="4" fontId="9" fillId="2" borderId="6" xfId="3" applyNumberFormat="1" applyFont="1" applyFill="1" applyBorder="1" applyAlignment="1">
      <alignment horizontal="center" vertical="center"/>
    </xf>
    <xf numFmtId="4" fontId="9" fillId="2" borderId="73" xfId="3" applyNumberFormat="1" applyFont="1" applyFill="1" applyBorder="1" applyAlignment="1">
      <alignment horizontal="center" vertical="center" wrapText="1"/>
    </xf>
    <xf numFmtId="4" fontId="9" fillId="2" borderId="75" xfId="3" applyNumberFormat="1" applyFont="1" applyFill="1" applyBorder="1" applyAlignment="1">
      <alignment horizontal="center" vertical="center" wrapText="1"/>
    </xf>
    <xf numFmtId="4" fontId="9" fillId="2" borderId="9" xfId="3" applyNumberFormat="1" applyFont="1" applyFill="1" applyBorder="1" applyAlignment="1">
      <alignment horizontal="left" vertical="center"/>
    </xf>
    <xf numFmtId="4" fontId="9" fillId="2" borderId="3" xfId="3" applyNumberFormat="1" applyFont="1" applyFill="1" applyBorder="1" applyAlignment="1">
      <alignment horizontal="center" vertical="center"/>
    </xf>
    <xf numFmtId="4" fontId="9" fillId="2" borderId="28" xfId="3" applyNumberFormat="1" applyFont="1" applyFill="1" applyBorder="1" applyAlignment="1">
      <alignment horizontal="center" vertical="center"/>
    </xf>
    <xf numFmtId="4" fontId="9" fillId="9" borderId="32" xfId="3" applyNumberFormat="1" applyFont="1" applyFill="1" applyBorder="1" applyAlignment="1">
      <alignment horizontal="center" vertical="center" wrapText="1"/>
    </xf>
    <xf numFmtId="4" fontId="9" fillId="9" borderId="26" xfId="3" applyNumberFormat="1" applyFont="1" applyFill="1" applyBorder="1" applyAlignment="1">
      <alignment horizontal="center" vertical="center" wrapText="1"/>
    </xf>
    <xf numFmtId="4" fontId="9" fillId="2" borderId="12" xfId="3" applyNumberFormat="1" applyFont="1" applyFill="1" applyBorder="1" applyAlignment="1">
      <alignment horizontal="center" vertical="center"/>
    </xf>
    <xf numFmtId="4" fontId="9" fillId="2" borderId="71" xfId="3" applyNumberFormat="1" applyFont="1" applyFill="1" applyBorder="1" applyAlignment="1">
      <alignment horizontal="center" vertical="center"/>
    </xf>
    <xf numFmtId="4" fontId="9" fillId="2" borderId="13" xfId="3" applyNumberFormat="1" applyFont="1" applyFill="1" applyBorder="1" applyAlignment="1">
      <alignment horizontal="center" vertical="center"/>
    </xf>
    <xf numFmtId="4" fontId="9" fillId="2" borderId="32" xfId="3" applyNumberFormat="1" applyFont="1" applyFill="1" applyBorder="1" applyAlignment="1">
      <alignment horizontal="center" vertical="center" wrapText="1"/>
    </xf>
    <xf numFmtId="4" fontId="9" fillId="2" borderId="26" xfId="3" applyNumberFormat="1" applyFont="1" applyFill="1" applyBorder="1" applyAlignment="1">
      <alignment horizontal="center" vertical="center" wrapText="1"/>
    </xf>
    <xf numFmtId="4" fontId="10" fillId="2" borderId="72" xfId="3" applyNumberFormat="1" applyFont="1" applyFill="1" applyBorder="1" applyAlignment="1">
      <alignment horizontal="center" vertical="center" wrapText="1"/>
    </xf>
    <xf numFmtId="4" fontId="10" fillId="2" borderId="74" xfId="3" applyNumberFormat="1" applyFont="1" applyFill="1" applyBorder="1" applyAlignment="1">
      <alignment horizontal="center" vertical="center" wrapText="1"/>
    </xf>
    <xf numFmtId="4" fontId="9" fillId="2" borderId="9" xfId="3" quotePrefix="1" applyNumberFormat="1" applyFont="1" applyFill="1" applyBorder="1" applyAlignment="1">
      <alignment horizontal="left" vertical="center"/>
    </xf>
    <xf numFmtId="4" fontId="12" fillId="2" borderId="3" xfId="3" applyNumberFormat="1" applyFont="1" applyFill="1" applyBorder="1" applyAlignment="1">
      <alignment horizontal="center" vertical="center"/>
    </xf>
    <xf numFmtId="4" fontId="12" fillId="2" borderId="6" xfId="3" applyNumberFormat="1" applyFont="1" applyFill="1" applyBorder="1" applyAlignment="1">
      <alignment horizontal="center" vertical="center"/>
    </xf>
    <xf numFmtId="4" fontId="12" fillId="2" borderId="28" xfId="3" applyNumberFormat="1" applyFont="1" applyFill="1" applyBorder="1" applyAlignment="1">
      <alignment horizontal="center" vertical="center"/>
    </xf>
    <xf numFmtId="4" fontId="9" fillId="2" borderId="0" xfId="3" applyNumberFormat="1" applyFont="1" applyFill="1" applyAlignment="1">
      <alignment horizontal="center" vertical="center" wrapText="1"/>
    </xf>
    <xf numFmtId="4" fontId="17" fillId="2" borderId="0" xfId="3" applyNumberFormat="1" applyFont="1" applyFill="1" applyAlignment="1">
      <alignment horizontal="center"/>
    </xf>
    <xf numFmtId="4" fontId="9" fillId="2" borderId="9" xfId="3" applyNumberFormat="1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6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wrapText="1"/>
    </xf>
    <xf numFmtId="0" fontId="7" fillId="3" borderId="57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wrapText="1"/>
    </xf>
    <xf numFmtId="0" fontId="7" fillId="2" borderId="68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7" fillId="2" borderId="31" xfId="0" applyFont="1" applyFill="1" applyBorder="1" applyAlignment="1">
      <alignment horizontal="center"/>
    </xf>
    <xf numFmtId="4" fontId="18" fillId="2" borderId="0" xfId="0" applyNumberFormat="1" applyFont="1" applyFill="1" applyAlignment="1">
      <alignment horizontal="center" vertical="center" wrapText="1"/>
    </xf>
    <xf numFmtId="4" fontId="18" fillId="2" borderId="63" xfId="0" applyNumberFormat="1" applyFont="1" applyFill="1" applyBorder="1" applyAlignment="1">
      <alignment horizontal="center" vertical="center" wrapText="1"/>
    </xf>
    <xf numFmtId="4" fontId="18" fillId="2" borderId="80" xfId="0" applyNumberFormat="1" applyFont="1" applyFill="1" applyBorder="1" applyAlignment="1">
      <alignment horizontal="center" vertical="center" wrapText="1"/>
    </xf>
    <xf numFmtId="4" fontId="18" fillId="2" borderId="31" xfId="0" applyNumberFormat="1" applyFont="1" applyFill="1" applyBorder="1" applyAlignment="1">
      <alignment horizontal="center" vertical="center" wrapText="1"/>
    </xf>
    <xf numFmtId="4" fontId="18" fillId="2" borderId="7" xfId="0" applyNumberFormat="1" applyFont="1" applyFill="1" applyBorder="1" applyAlignment="1">
      <alignment horizontal="center" vertical="center" wrapText="1"/>
    </xf>
    <xf numFmtId="4" fontId="18" fillId="2" borderId="64" xfId="0" applyNumberFormat="1" applyFont="1" applyFill="1" applyBorder="1" applyAlignment="1">
      <alignment horizontal="center" vertical="center" wrapText="1"/>
    </xf>
    <xf numFmtId="4" fontId="18" fillId="2" borderId="81" xfId="0" applyNumberFormat="1" applyFont="1" applyFill="1" applyBorder="1" applyAlignment="1">
      <alignment horizontal="center" vertical="center" wrapText="1"/>
    </xf>
    <xf numFmtId="4" fontId="18" fillId="2" borderId="83" xfId="0" applyNumberFormat="1" applyFont="1" applyFill="1" applyBorder="1" applyAlignment="1">
      <alignment horizontal="center" vertical="center" wrapText="1"/>
    </xf>
    <xf numFmtId="0" fontId="19" fillId="2" borderId="6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9" fillId="2" borderId="82" xfId="0" applyFont="1" applyFill="1" applyBorder="1" applyAlignment="1">
      <alignment horizontal="center" vertical="center" wrapText="1"/>
    </xf>
    <xf numFmtId="0" fontId="19" fillId="2" borderId="84" xfId="0" applyFont="1" applyFill="1" applyBorder="1" applyAlignment="1">
      <alignment horizontal="center" vertical="center" wrapText="1"/>
    </xf>
    <xf numFmtId="4" fontId="18" fillId="2" borderId="85" xfId="0" applyNumberFormat="1" applyFont="1" applyFill="1" applyBorder="1" applyAlignment="1">
      <alignment horizontal="center" vertical="center" wrapText="1"/>
    </xf>
    <xf numFmtId="0" fontId="19" fillId="2" borderId="85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5">
    <cellStyle name="Comma" xfId="1" builtinId="3"/>
    <cellStyle name="Comma 2" xfId="4" xr:uid="{64F82BED-8362-4459-8F69-50150E1422B1}"/>
    <cellStyle name="Normal" xfId="0" builtinId="0"/>
    <cellStyle name="Normal 2" xfId="3" xr:uid="{651E5543-F483-49E0-8D71-29B63708615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5C87-D63C-4A5C-A88E-9DA852DAD33B}">
  <dimension ref="A1:Y31"/>
  <sheetViews>
    <sheetView topLeftCell="A3" zoomScale="70" zoomScaleNormal="70" workbookViewId="0">
      <selection activeCell="T36" sqref="T36"/>
    </sheetView>
  </sheetViews>
  <sheetFormatPr defaultRowHeight="14.4"/>
  <cols>
    <col min="1" max="1" width="35.109375" customWidth="1"/>
    <col min="2" max="2" width="15.6640625" customWidth="1"/>
    <col min="7" max="7" width="12.88671875" customWidth="1"/>
    <col min="8" max="8" width="11.5546875" customWidth="1"/>
    <col min="10" max="10" width="14.33203125" customWidth="1"/>
    <col min="11" max="11" width="4.77734375" customWidth="1"/>
    <col min="21" max="21" width="12.21875" customWidth="1"/>
    <col min="22" max="22" width="4.6640625" customWidth="1"/>
    <col min="23" max="23" width="11.44140625" customWidth="1"/>
  </cols>
  <sheetData>
    <row r="1" spans="1:25" ht="15.6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6"/>
      <c r="Y1" s="7"/>
    </row>
    <row r="2" spans="1:25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4"/>
      <c r="N2" s="4"/>
      <c r="O2" s="8"/>
      <c r="P2" s="4"/>
      <c r="Q2" s="4"/>
      <c r="R2" s="4"/>
      <c r="S2" s="4"/>
      <c r="T2" s="4"/>
      <c r="U2" s="5"/>
      <c r="V2" s="5"/>
      <c r="W2" s="5"/>
      <c r="X2" s="6"/>
      <c r="Y2" s="7"/>
    </row>
    <row r="3" spans="1:25" ht="15" thickBot="1">
      <c r="A3" s="4"/>
      <c r="B3" s="4"/>
      <c r="C3" s="4"/>
      <c r="D3" s="4"/>
      <c r="E3" s="4"/>
      <c r="F3" s="4"/>
      <c r="G3" s="4"/>
      <c r="H3" s="4"/>
      <c r="I3" s="4"/>
      <c r="J3" s="4"/>
      <c r="K3" s="5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6"/>
      <c r="Y3" s="7"/>
    </row>
    <row r="4" spans="1:25" ht="15.6" thickTop="1" thickBot="1">
      <c r="A4" s="9">
        <v>46174</v>
      </c>
      <c r="B4" s="244" t="s">
        <v>3</v>
      </c>
      <c r="C4" s="245"/>
      <c r="D4" s="245"/>
      <c r="E4" s="245"/>
      <c r="F4" s="245"/>
      <c r="G4" s="245"/>
      <c r="H4" s="246"/>
      <c r="I4" s="4"/>
      <c r="J4" s="247" t="s">
        <v>4</v>
      </c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7"/>
    </row>
    <row r="5" spans="1:25" ht="44.4" thickTop="1" thickBot="1">
      <c r="A5" s="249" t="s">
        <v>5</v>
      </c>
      <c r="B5" s="251"/>
      <c r="C5" s="10" t="s">
        <v>6</v>
      </c>
      <c r="D5" s="10" t="s">
        <v>7</v>
      </c>
      <c r="E5" s="10" t="s">
        <v>8</v>
      </c>
      <c r="F5" s="10" t="s">
        <v>9</v>
      </c>
      <c r="G5" s="10"/>
      <c r="H5" s="11" t="s">
        <v>10</v>
      </c>
      <c r="I5" s="12"/>
      <c r="J5" s="13" t="s">
        <v>11</v>
      </c>
      <c r="K5" s="14"/>
      <c r="L5" s="15" t="s">
        <v>12</v>
      </c>
      <c r="M5" s="253" t="s">
        <v>13</v>
      </c>
      <c r="N5" s="254"/>
      <c r="O5" s="15" t="s">
        <v>14</v>
      </c>
      <c r="P5" s="16" t="s">
        <v>15</v>
      </c>
      <c r="Q5" s="15" t="s">
        <v>16</v>
      </c>
      <c r="R5" s="16" t="s">
        <v>17</v>
      </c>
      <c r="S5" s="16" t="s">
        <v>18</v>
      </c>
      <c r="T5" s="17" t="s">
        <v>19</v>
      </c>
      <c r="U5" s="18" t="s">
        <v>20</v>
      </c>
      <c r="V5" s="19"/>
      <c r="W5" s="20" t="s">
        <v>21</v>
      </c>
      <c r="X5" s="21" t="s">
        <v>21</v>
      </c>
      <c r="Y5" s="22"/>
    </row>
    <row r="6" spans="1:25" ht="30" thickTop="1" thickBot="1">
      <c r="A6" s="250"/>
      <c r="B6" s="252"/>
      <c r="C6" s="23" t="s">
        <v>22</v>
      </c>
      <c r="D6" s="23" t="s">
        <v>22</v>
      </c>
      <c r="E6" s="23" t="s">
        <v>22</v>
      </c>
      <c r="F6" s="23" t="s">
        <v>22</v>
      </c>
      <c r="G6" s="23"/>
      <c r="H6" s="24" t="s">
        <v>22</v>
      </c>
      <c r="I6" s="12"/>
      <c r="J6" s="25" t="s">
        <v>23</v>
      </c>
      <c r="K6" s="26"/>
      <c r="L6" s="27" t="s">
        <v>24</v>
      </c>
      <c r="M6" s="28" t="s">
        <v>25</v>
      </c>
      <c r="N6" s="28" t="s">
        <v>26</v>
      </c>
      <c r="O6" s="255" t="s">
        <v>27</v>
      </c>
      <c r="P6" s="256"/>
      <c r="Q6" s="257"/>
      <c r="R6" s="255" t="s">
        <v>28</v>
      </c>
      <c r="S6" s="257"/>
      <c r="T6" s="29" t="s">
        <v>29</v>
      </c>
      <c r="U6" s="30" t="s">
        <v>30</v>
      </c>
      <c r="V6" s="19"/>
      <c r="W6" s="31" t="s">
        <v>31</v>
      </c>
      <c r="X6" s="32" t="s">
        <v>32</v>
      </c>
      <c r="Y6" s="22"/>
    </row>
    <row r="7" spans="1:25" ht="15" thickBot="1">
      <c r="A7" s="1" t="s">
        <v>0</v>
      </c>
      <c r="B7" s="33">
        <f>2290+25+25</f>
        <v>2340</v>
      </c>
      <c r="C7" s="34">
        <v>40</v>
      </c>
      <c r="D7" s="34">
        <v>15</v>
      </c>
      <c r="E7" s="34">
        <v>5</v>
      </c>
      <c r="F7" s="34">
        <v>10</v>
      </c>
      <c r="G7" s="34">
        <f>B7-C7-D7-E7-F7</f>
        <v>2270</v>
      </c>
      <c r="H7" s="35">
        <v>0.05</v>
      </c>
      <c r="I7" s="5"/>
      <c r="J7" s="2">
        <f>G7*0.95</f>
        <v>2156.5</v>
      </c>
      <c r="K7" s="36"/>
      <c r="L7" s="37">
        <v>50</v>
      </c>
      <c r="M7" s="36">
        <v>35</v>
      </c>
      <c r="N7" s="36">
        <f>10</f>
        <v>10</v>
      </c>
      <c r="O7" s="36">
        <v>5</v>
      </c>
      <c r="P7" s="36">
        <v>10</v>
      </c>
      <c r="Q7" s="36">
        <v>5</v>
      </c>
      <c r="R7" s="36">
        <v>50</v>
      </c>
      <c r="S7" s="36">
        <v>10</v>
      </c>
      <c r="T7" s="38">
        <v>5</v>
      </c>
      <c r="U7" s="39">
        <f t="shared" ref="U7:U13" si="0">SUM(J7:T7)</f>
        <v>2336.5</v>
      </c>
      <c r="V7" s="5"/>
      <c r="W7" s="39">
        <v>2340</v>
      </c>
      <c r="X7" s="40">
        <v>95</v>
      </c>
      <c r="Y7" s="41"/>
    </row>
    <row r="8" spans="1:25" ht="15.6" thickTop="1" thickBot="1">
      <c r="A8" s="42" t="s">
        <v>33</v>
      </c>
      <c r="B8" s="43">
        <f>1580+25+25</f>
        <v>1630</v>
      </c>
      <c r="C8" s="44">
        <v>80</v>
      </c>
      <c r="D8" s="44">
        <v>30</v>
      </c>
      <c r="E8" s="44">
        <v>10</v>
      </c>
      <c r="F8" s="44">
        <v>20</v>
      </c>
      <c r="G8" s="34">
        <f t="shared" ref="G8:G13" si="1">B8-C8-D8-E8-F8</f>
        <v>1490</v>
      </c>
      <c r="H8" s="45">
        <v>0.05</v>
      </c>
      <c r="I8" s="5"/>
      <c r="J8" s="46">
        <f t="shared" ref="J8:J20" si="2">G8*0.95</f>
        <v>1415.5</v>
      </c>
      <c r="K8" s="47"/>
      <c r="L8" s="48">
        <v>50</v>
      </c>
      <c r="M8" s="49">
        <v>35</v>
      </c>
      <c r="N8" s="36">
        <f>10</f>
        <v>10</v>
      </c>
      <c r="O8" s="47">
        <v>5</v>
      </c>
      <c r="P8" s="47">
        <v>10</v>
      </c>
      <c r="Q8" s="47">
        <v>5</v>
      </c>
      <c r="R8" s="49">
        <v>40</v>
      </c>
      <c r="S8" s="36">
        <v>10</v>
      </c>
      <c r="T8" s="38">
        <v>5</v>
      </c>
      <c r="U8" s="50">
        <f t="shared" si="0"/>
        <v>1585.5</v>
      </c>
      <c r="V8" s="51"/>
      <c r="W8" s="50">
        <v>1585</v>
      </c>
      <c r="X8" s="52">
        <v>65</v>
      </c>
      <c r="Y8" s="41"/>
    </row>
    <row r="9" spans="1:25" ht="15.6" thickTop="1" thickBot="1">
      <c r="A9" s="42" t="s">
        <v>34</v>
      </c>
      <c r="B9" s="43">
        <f>2015+50+50</f>
        <v>2115</v>
      </c>
      <c r="C9" s="44">
        <v>80</v>
      </c>
      <c r="D9" s="44">
        <v>30</v>
      </c>
      <c r="E9" s="44">
        <v>10</v>
      </c>
      <c r="F9" s="44">
        <v>20</v>
      </c>
      <c r="G9" s="34">
        <f t="shared" si="1"/>
        <v>1975</v>
      </c>
      <c r="H9" s="45">
        <v>0.05</v>
      </c>
      <c r="I9" s="5"/>
      <c r="J9" s="46">
        <f t="shared" si="2"/>
        <v>1876.25</v>
      </c>
      <c r="K9" s="47"/>
      <c r="L9" s="48">
        <v>80</v>
      </c>
      <c r="M9" s="49">
        <v>70</v>
      </c>
      <c r="N9" s="49">
        <f>20</f>
        <v>20</v>
      </c>
      <c r="O9" s="47">
        <v>10</v>
      </c>
      <c r="P9" s="47">
        <v>20</v>
      </c>
      <c r="Q9" s="47">
        <v>10</v>
      </c>
      <c r="R9" s="49">
        <v>80</v>
      </c>
      <c r="S9" s="53">
        <v>20</v>
      </c>
      <c r="T9" s="54">
        <v>10</v>
      </c>
      <c r="U9" s="50">
        <f t="shared" si="0"/>
        <v>2196.25</v>
      </c>
      <c r="V9" s="51"/>
      <c r="W9" s="50">
        <v>2195</v>
      </c>
      <c r="X9" s="52">
        <v>46</v>
      </c>
      <c r="Y9" s="41"/>
    </row>
    <row r="10" spans="1:25" ht="15.6" thickTop="1" thickBot="1">
      <c r="A10" s="42" t="s">
        <v>35</v>
      </c>
      <c r="B10" s="43">
        <f>1965+50+50</f>
        <v>2065</v>
      </c>
      <c r="C10" s="44">
        <v>80</v>
      </c>
      <c r="D10" s="44">
        <v>30</v>
      </c>
      <c r="E10" s="44">
        <v>10</v>
      </c>
      <c r="F10" s="44">
        <v>20</v>
      </c>
      <c r="G10" s="34">
        <f t="shared" si="1"/>
        <v>1925</v>
      </c>
      <c r="H10" s="45">
        <v>0.05</v>
      </c>
      <c r="I10" s="5"/>
      <c r="J10" s="46">
        <f t="shared" si="2"/>
        <v>1828.75</v>
      </c>
      <c r="K10" s="47"/>
      <c r="L10" s="48">
        <v>80</v>
      </c>
      <c r="M10" s="49">
        <v>70</v>
      </c>
      <c r="N10" s="49">
        <f>20</f>
        <v>20</v>
      </c>
      <c r="O10" s="47">
        <v>10</v>
      </c>
      <c r="P10" s="47">
        <v>20</v>
      </c>
      <c r="Q10" s="47">
        <v>10</v>
      </c>
      <c r="R10" s="49">
        <v>80</v>
      </c>
      <c r="S10" s="53">
        <v>20</v>
      </c>
      <c r="T10" s="54">
        <v>10</v>
      </c>
      <c r="U10" s="50">
        <f t="shared" si="0"/>
        <v>2148.75</v>
      </c>
      <c r="V10" s="51"/>
      <c r="W10" s="50">
        <v>2150</v>
      </c>
      <c r="X10" s="52">
        <v>45</v>
      </c>
      <c r="Y10" s="41"/>
    </row>
    <row r="11" spans="1:25" ht="15.6" thickTop="1" thickBot="1">
      <c r="A11" s="42" t="s">
        <v>36</v>
      </c>
      <c r="B11" s="43">
        <f>1860+50+50</f>
        <v>1960</v>
      </c>
      <c r="C11" s="44">
        <v>80</v>
      </c>
      <c r="D11" s="44">
        <v>30</v>
      </c>
      <c r="E11" s="44">
        <v>10</v>
      </c>
      <c r="F11" s="44">
        <v>20</v>
      </c>
      <c r="G11" s="34">
        <f t="shared" si="1"/>
        <v>1820</v>
      </c>
      <c r="H11" s="45">
        <v>0.05</v>
      </c>
      <c r="I11" s="5"/>
      <c r="J11" s="46">
        <f t="shared" si="2"/>
        <v>1729</v>
      </c>
      <c r="K11" s="47"/>
      <c r="L11" s="48">
        <v>80</v>
      </c>
      <c r="M11" s="49">
        <v>70</v>
      </c>
      <c r="N11" s="49">
        <f>20</f>
        <v>20</v>
      </c>
      <c r="O11" s="47">
        <v>10</v>
      </c>
      <c r="P11" s="47">
        <v>20</v>
      </c>
      <c r="Q11" s="47">
        <v>10</v>
      </c>
      <c r="R11" s="49">
        <v>80</v>
      </c>
      <c r="S11" s="53">
        <v>20</v>
      </c>
      <c r="T11" s="54">
        <v>10</v>
      </c>
      <c r="U11" s="50">
        <f t="shared" si="0"/>
        <v>2049</v>
      </c>
      <c r="V11" s="51"/>
      <c r="W11" s="50">
        <v>2050</v>
      </c>
      <c r="X11" s="52">
        <v>43</v>
      </c>
      <c r="Y11" s="41"/>
    </row>
    <row r="12" spans="1:25" ht="15.6" thickTop="1" thickBot="1">
      <c r="A12" s="42" t="s">
        <v>37</v>
      </c>
      <c r="B12" s="43">
        <f>1745+50+50</f>
        <v>1845</v>
      </c>
      <c r="C12" s="44">
        <v>80</v>
      </c>
      <c r="D12" s="44">
        <v>30</v>
      </c>
      <c r="E12" s="44">
        <v>10</v>
      </c>
      <c r="F12" s="44">
        <v>20</v>
      </c>
      <c r="G12" s="34">
        <f t="shared" si="1"/>
        <v>1705</v>
      </c>
      <c r="H12" s="45">
        <v>0.05</v>
      </c>
      <c r="I12" s="5"/>
      <c r="J12" s="46">
        <f t="shared" si="2"/>
        <v>1619.75</v>
      </c>
      <c r="K12" s="47"/>
      <c r="L12" s="48">
        <v>80</v>
      </c>
      <c r="M12" s="49">
        <v>70</v>
      </c>
      <c r="N12" s="49">
        <f>20</f>
        <v>20</v>
      </c>
      <c r="O12" s="47">
        <v>10</v>
      </c>
      <c r="P12" s="47">
        <v>20</v>
      </c>
      <c r="Q12" s="47">
        <v>10</v>
      </c>
      <c r="R12" s="49">
        <v>80</v>
      </c>
      <c r="S12" s="53">
        <v>20</v>
      </c>
      <c r="T12" s="54">
        <v>10</v>
      </c>
      <c r="U12" s="50">
        <f t="shared" si="0"/>
        <v>1939.75</v>
      </c>
      <c r="V12" s="51"/>
      <c r="W12" s="50">
        <v>1940</v>
      </c>
      <c r="X12" s="52">
        <v>41</v>
      </c>
      <c r="Y12" s="41"/>
    </row>
    <row r="13" spans="1:25" ht="15.6" thickTop="1" thickBot="1">
      <c r="A13" s="55" t="s">
        <v>38</v>
      </c>
      <c r="B13" s="56">
        <f>1875+50+50</f>
        <v>1975</v>
      </c>
      <c r="C13" s="44">
        <v>80</v>
      </c>
      <c r="D13" s="44">
        <v>30</v>
      </c>
      <c r="E13" s="44">
        <v>10</v>
      </c>
      <c r="F13" s="44">
        <v>20</v>
      </c>
      <c r="G13" s="34">
        <f t="shared" si="1"/>
        <v>1835</v>
      </c>
      <c r="H13" s="45">
        <v>0.05</v>
      </c>
      <c r="I13" s="5"/>
      <c r="J13" s="46">
        <f>G13*0.95</f>
        <v>1743.25</v>
      </c>
      <c r="K13" s="47"/>
      <c r="L13" s="48">
        <v>80</v>
      </c>
      <c r="M13" s="49">
        <v>70</v>
      </c>
      <c r="N13" s="49">
        <f>20</f>
        <v>20</v>
      </c>
      <c r="O13" s="47">
        <v>10</v>
      </c>
      <c r="P13" s="47">
        <v>20</v>
      </c>
      <c r="Q13" s="47">
        <v>10</v>
      </c>
      <c r="R13" s="49">
        <v>80</v>
      </c>
      <c r="S13" s="49">
        <v>20</v>
      </c>
      <c r="T13" s="49">
        <v>10</v>
      </c>
      <c r="U13" s="50">
        <f t="shared" si="0"/>
        <v>2063.25</v>
      </c>
      <c r="V13" s="51"/>
      <c r="W13" s="50">
        <v>2065</v>
      </c>
      <c r="X13" s="52">
        <v>43</v>
      </c>
      <c r="Y13" s="41"/>
    </row>
    <row r="14" spans="1:25" ht="15" thickBo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8"/>
      <c r="Y14" s="59"/>
    </row>
    <row r="15" spans="1:25" ht="58.2" thickBot="1">
      <c r="A15" s="60" t="s">
        <v>39</v>
      </c>
      <c r="B15" s="61" t="s">
        <v>40</v>
      </c>
      <c r="C15" s="62" t="s">
        <v>22</v>
      </c>
      <c r="D15" s="62" t="s">
        <v>22</v>
      </c>
      <c r="E15" s="62" t="s">
        <v>22</v>
      </c>
      <c r="F15" s="62" t="s">
        <v>22</v>
      </c>
      <c r="G15" s="62"/>
      <c r="H15" s="63" t="s">
        <v>22</v>
      </c>
      <c r="I15" s="64"/>
      <c r="J15" s="65" t="s">
        <v>23</v>
      </c>
      <c r="K15" s="66"/>
      <c r="L15" s="67" t="s">
        <v>41</v>
      </c>
      <c r="M15" s="67" t="s">
        <v>42</v>
      </c>
      <c r="N15" s="67" t="s">
        <v>43</v>
      </c>
      <c r="O15" s="67" t="s">
        <v>14</v>
      </c>
      <c r="P15" s="66" t="s">
        <v>15</v>
      </c>
      <c r="Q15" s="66" t="s">
        <v>44</v>
      </c>
      <c r="R15" s="67" t="s">
        <v>45</v>
      </c>
      <c r="S15" s="67" t="s">
        <v>46</v>
      </c>
      <c r="T15" s="68" t="s">
        <v>47</v>
      </c>
      <c r="U15" s="69" t="s">
        <v>30</v>
      </c>
      <c r="V15" s="70"/>
      <c r="W15" s="71" t="s">
        <v>31</v>
      </c>
      <c r="X15" s="71" t="s">
        <v>32</v>
      </c>
      <c r="Y15" s="22"/>
    </row>
    <row r="16" spans="1:25" ht="15" thickBot="1">
      <c r="A16" s="1" t="s">
        <v>48</v>
      </c>
      <c r="B16" s="33">
        <f>1430+25+25</f>
        <v>1480</v>
      </c>
      <c r="C16" s="34">
        <v>40</v>
      </c>
      <c r="D16" s="34">
        <v>15</v>
      </c>
      <c r="E16" s="34">
        <v>5</v>
      </c>
      <c r="F16" s="34">
        <v>10</v>
      </c>
      <c r="G16" s="34">
        <f>B16-C16-D16-E16-F16</f>
        <v>1410</v>
      </c>
      <c r="H16" s="35">
        <v>0.05</v>
      </c>
      <c r="I16" s="5"/>
      <c r="J16" s="2">
        <f t="shared" si="2"/>
        <v>1339.5</v>
      </c>
      <c r="K16" s="36"/>
      <c r="L16" s="37">
        <v>40</v>
      </c>
      <c r="M16" s="36">
        <v>35</v>
      </c>
      <c r="N16" s="36">
        <f>10</f>
        <v>10</v>
      </c>
      <c r="O16" s="36">
        <v>5</v>
      </c>
      <c r="P16" s="36">
        <v>10</v>
      </c>
      <c r="Q16" s="36">
        <v>5</v>
      </c>
      <c r="R16" s="36">
        <v>45</v>
      </c>
      <c r="S16" s="36">
        <v>5</v>
      </c>
      <c r="T16" s="38">
        <v>5</v>
      </c>
      <c r="U16" s="39">
        <f t="shared" ref="U16:U21" si="3">SUM(J16:T16)</f>
        <v>1499.5</v>
      </c>
      <c r="V16" s="5"/>
      <c r="W16" s="72">
        <v>1500</v>
      </c>
      <c r="X16" s="73">
        <v>61</v>
      </c>
      <c r="Y16" s="41"/>
    </row>
    <row r="17" spans="1:25" ht="15.6" thickTop="1" thickBot="1">
      <c r="A17" s="42" t="s">
        <v>49</v>
      </c>
      <c r="B17" s="43">
        <f>1910+50+50</f>
        <v>2010</v>
      </c>
      <c r="C17" s="74">
        <v>80</v>
      </c>
      <c r="D17" s="74">
        <v>30</v>
      </c>
      <c r="E17" s="74">
        <v>10</v>
      </c>
      <c r="F17" s="74">
        <v>20</v>
      </c>
      <c r="G17" s="34">
        <f t="shared" ref="G17:G21" si="4">B17-C17-D17-E17-F17</f>
        <v>1870</v>
      </c>
      <c r="H17" s="75">
        <v>0.05</v>
      </c>
      <c r="I17" s="5"/>
      <c r="J17" s="76">
        <f t="shared" si="2"/>
        <v>1776.5</v>
      </c>
      <c r="K17" s="49"/>
      <c r="L17" s="77">
        <v>80</v>
      </c>
      <c r="M17" s="49">
        <v>70</v>
      </c>
      <c r="N17" s="49">
        <f>20</f>
        <v>20</v>
      </c>
      <c r="O17" s="49">
        <v>10</v>
      </c>
      <c r="P17" s="49">
        <v>20</v>
      </c>
      <c r="Q17" s="49">
        <v>10</v>
      </c>
      <c r="R17" s="49">
        <v>90</v>
      </c>
      <c r="S17" s="53">
        <v>10</v>
      </c>
      <c r="T17" s="54">
        <v>5</v>
      </c>
      <c r="U17" s="78">
        <f t="shared" si="3"/>
        <v>2091.5</v>
      </c>
      <c r="V17" s="5"/>
      <c r="W17" s="79">
        <v>2092</v>
      </c>
      <c r="X17" s="73">
        <v>44</v>
      </c>
      <c r="Y17" s="41">
        <f>W17/49+1</f>
        <v>43.693877551020407</v>
      </c>
    </row>
    <row r="18" spans="1:25" ht="15.6" thickTop="1" thickBot="1">
      <c r="A18" s="42" t="s">
        <v>50</v>
      </c>
      <c r="B18" s="43">
        <f>1750+50+50</f>
        <v>1850</v>
      </c>
      <c r="C18" s="74">
        <v>80</v>
      </c>
      <c r="D18" s="74">
        <v>30</v>
      </c>
      <c r="E18" s="74">
        <v>10</v>
      </c>
      <c r="F18" s="74">
        <v>20</v>
      </c>
      <c r="G18" s="34">
        <f t="shared" si="4"/>
        <v>1710</v>
      </c>
      <c r="H18" s="75">
        <v>0.05</v>
      </c>
      <c r="I18" s="5"/>
      <c r="J18" s="76">
        <f t="shared" si="2"/>
        <v>1624.5</v>
      </c>
      <c r="K18" s="49"/>
      <c r="L18" s="77">
        <v>80</v>
      </c>
      <c r="M18" s="49">
        <v>70</v>
      </c>
      <c r="N18" s="49">
        <f>20</f>
        <v>20</v>
      </c>
      <c r="O18" s="49">
        <v>10</v>
      </c>
      <c r="P18" s="49">
        <v>20</v>
      </c>
      <c r="Q18" s="49">
        <v>10</v>
      </c>
      <c r="R18" s="49">
        <v>90</v>
      </c>
      <c r="S18" s="53">
        <v>10</v>
      </c>
      <c r="T18" s="54">
        <v>5</v>
      </c>
      <c r="U18" s="78">
        <f t="shared" si="3"/>
        <v>1939.5</v>
      </c>
      <c r="V18" s="5"/>
      <c r="W18" s="79">
        <v>1940</v>
      </c>
      <c r="X18" s="73">
        <v>41</v>
      </c>
      <c r="Y18" s="41">
        <f t="shared" ref="Y18:Y21" si="5">W18/49+1</f>
        <v>40.591836734693878</v>
      </c>
    </row>
    <row r="19" spans="1:25" ht="15.6" thickTop="1" thickBot="1">
      <c r="A19" s="42" t="s">
        <v>51</v>
      </c>
      <c r="B19" s="43">
        <f>1720+50+50</f>
        <v>1820</v>
      </c>
      <c r="C19" s="74">
        <v>80</v>
      </c>
      <c r="D19" s="74">
        <v>30</v>
      </c>
      <c r="E19" s="74">
        <v>10</v>
      </c>
      <c r="F19" s="74">
        <v>20</v>
      </c>
      <c r="G19" s="34">
        <f t="shared" si="4"/>
        <v>1680</v>
      </c>
      <c r="H19" s="75">
        <v>0.05</v>
      </c>
      <c r="I19" s="5"/>
      <c r="J19" s="76">
        <f t="shared" si="2"/>
        <v>1596</v>
      </c>
      <c r="K19" s="49"/>
      <c r="L19" s="77">
        <v>80</v>
      </c>
      <c r="M19" s="49">
        <v>70</v>
      </c>
      <c r="N19" s="49">
        <f>20</f>
        <v>20</v>
      </c>
      <c r="O19" s="49">
        <v>10</v>
      </c>
      <c r="P19" s="49">
        <v>20</v>
      </c>
      <c r="Q19" s="49">
        <v>10</v>
      </c>
      <c r="R19" s="49">
        <v>90</v>
      </c>
      <c r="S19" s="53">
        <v>10</v>
      </c>
      <c r="T19" s="54">
        <v>5</v>
      </c>
      <c r="U19" s="78">
        <f t="shared" si="3"/>
        <v>1911</v>
      </c>
      <c r="V19" s="5"/>
      <c r="W19" s="79">
        <v>1915</v>
      </c>
      <c r="X19" s="73">
        <v>40</v>
      </c>
      <c r="Y19" s="41">
        <f t="shared" si="5"/>
        <v>40.081632653061227</v>
      </c>
    </row>
    <row r="20" spans="1:25" ht="15.6" thickTop="1" thickBot="1">
      <c r="A20" s="55" t="s">
        <v>52</v>
      </c>
      <c r="B20" s="56">
        <f>1705+50+50</f>
        <v>1805</v>
      </c>
      <c r="C20" s="44">
        <v>80</v>
      </c>
      <c r="D20" s="44">
        <v>30</v>
      </c>
      <c r="E20" s="44">
        <v>10</v>
      </c>
      <c r="F20" s="74">
        <v>20</v>
      </c>
      <c r="G20" s="34">
        <f t="shared" si="4"/>
        <v>1665</v>
      </c>
      <c r="H20" s="45">
        <v>0.05</v>
      </c>
      <c r="I20" s="5"/>
      <c r="J20" s="46">
        <f t="shared" si="2"/>
        <v>1581.75</v>
      </c>
      <c r="K20" s="47"/>
      <c r="L20" s="77">
        <v>80</v>
      </c>
      <c r="M20" s="49">
        <v>70</v>
      </c>
      <c r="N20" s="49">
        <f>20</f>
        <v>20</v>
      </c>
      <c r="O20" s="49">
        <v>10</v>
      </c>
      <c r="P20" s="49">
        <v>20</v>
      </c>
      <c r="Q20" s="47">
        <v>10</v>
      </c>
      <c r="R20" s="49">
        <v>90</v>
      </c>
      <c r="S20" s="53">
        <v>10</v>
      </c>
      <c r="T20" s="54">
        <v>5</v>
      </c>
      <c r="U20" s="50">
        <f t="shared" si="3"/>
        <v>1896.75</v>
      </c>
      <c r="V20" s="5"/>
      <c r="W20" s="80">
        <v>1900</v>
      </c>
      <c r="X20" s="73">
        <v>40</v>
      </c>
      <c r="Y20" s="41">
        <f t="shared" si="5"/>
        <v>39.775510204081634</v>
      </c>
    </row>
    <row r="21" spans="1:25" ht="15.6" thickTop="1" thickBot="1">
      <c r="A21" s="55" t="s">
        <v>53</v>
      </c>
      <c r="B21" s="56">
        <f>1835+50+50</f>
        <v>1935</v>
      </c>
      <c r="C21" s="44">
        <v>80</v>
      </c>
      <c r="D21" s="44">
        <v>30</v>
      </c>
      <c r="E21" s="44">
        <v>10</v>
      </c>
      <c r="F21" s="44">
        <v>20</v>
      </c>
      <c r="G21" s="81">
        <f t="shared" si="4"/>
        <v>1795</v>
      </c>
      <c r="H21" s="45">
        <v>0.05</v>
      </c>
      <c r="I21" s="82"/>
      <c r="J21" s="46">
        <f>G21*0.95</f>
        <v>1705.25</v>
      </c>
      <c r="K21" s="47"/>
      <c r="L21" s="48">
        <v>80</v>
      </c>
      <c r="M21" s="47">
        <v>70</v>
      </c>
      <c r="N21" s="49">
        <f>20</f>
        <v>20</v>
      </c>
      <c r="O21" s="47">
        <v>10</v>
      </c>
      <c r="P21" s="47">
        <v>20</v>
      </c>
      <c r="Q21" s="47">
        <v>10</v>
      </c>
      <c r="R21" s="49">
        <v>90</v>
      </c>
      <c r="S21" s="53">
        <v>10</v>
      </c>
      <c r="T21" s="49">
        <v>5</v>
      </c>
      <c r="U21" s="50">
        <f t="shared" si="3"/>
        <v>2020.25</v>
      </c>
      <c r="V21" s="82"/>
      <c r="W21" s="80">
        <v>2020</v>
      </c>
      <c r="X21" s="83">
        <v>42</v>
      </c>
      <c r="Y21" s="41">
        <f t="shared" si="5"/>
        <v>42.224489795918366</v>
      </c>
    </row>
    <row r="22" spans="1:25" ht="15" thickBot="1">
      <c r="A22" s="57"/>
      <c r="B22" s="84"/>
      <c r="C22" s="85"/>
      <c r="D22" s="85"/>
      <c r="E22" s="85"/>
      <c r="F22" s="85"/>
      <c r="G22" s="85"/>
      <c r="H22" s="86"/>
      <c r="I22" s="5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8"/>
      <c r="V22" s="5"/>
      <c r="W22" s="88"/>
      <c r="X22" s="58"/>
      <c r="Y22" s="41"/>
    </row>
    <row r="23" spans="1:25" ht="58.2" thickBot="1">
      <c r="A23" s="89" t="s">
        <v>54</v>
      </c>
      <c r="B23" s="90" t="s">
        <v>40</v>
      </c>
      <c r="C23" s="91" t="s">
        <v>22</v>
      </c>
      <c r="D23" s="91" t="s">
        <v>22</v>
      </c>
      <c r="E23" s="91" t="s">
        <v>22</v>
      </c>
      <c r="F23" s="91" t="s">
        <v>22</v>
      </c>
      <c r="G23" s="91"/>
      <c r="H23" s="92" t="s">
        <v>22</v>
      </c>
      <c r="I23" s="12"/>
      <c r="J23" s="93" t="s">
        <v>23</v>
      </c>
      <c r="K23" s="91"/>
      <c r="L23" s="94" t="s">
        <v>41</v>
      </c>
      <c r="M23" s="95" t="s">
        <v>42</v>
      </c>
      <c r="N23" s="95" t="s">
        <v>43</v>
      </c>
      <c r="O23" s="91" t="s">
        <v>27</v>
      </c>
      <c r="P23" s="91" t="s">
        <v>27</v>
      </c>
      <c r="Q23" s="91" t="s">
        <v>27</v>
      </c>
      <c r="R23" s="91" t="s">
        <v>55</v>
      </c>
      <c r="S23" s="91" t="s">
        <v>55</v>
      </c>
      <c r="T23" s="96" t="s">
        <v>56</v>
      </c>
      <c r="U23" s="92" t="s">
        <v>30</v>
      </c>
      <c r="V23" s="70"/>
      <c r="W23" s="97" t="s">
        <v>31</v>
      </c>
      <c r="X23" s="97" t="s">
        <v>32</v>
      </c>
      <c r="Y23" s="22"/>
    </row>
    <row r="24" spans="1:25" ht="15" thickBot="1">
      <c r="A24" s="98" t="s">
        <v>57</v>
      </c>
      <c r="B24" s="99">
        <v>1820</v>
      </c>
      <c r="C24" s="100">
        <v>80</v>
      </c>
      <c r="D24" s="100">
        <v>30</v>
      </c>
      <c r="E24" s="100">
        <v>10</v>
      </c>
      <c r="F24" s="100">
        <v>15</v>
      </c>
      <c r="G24" s="100" t="e">
        <f>B24-C24-D24-#REF!-E24-F24</f>
        <v>#REF!</v>
      </c>
      <c r="H24" s="101">
        <v>0.05</v>
      </c>
      <c r="I24" s="4"/>
      <c r="J24" s="102" t="e">
        <f t="shared" ref="J24:J31" si="6">G24*0.95</f>
        <v>#REF!</v>
      </c>
      <c r="K24" s="34"/>
      <c r="L24" s="100" t="e">
        <f t="shared" ref="L24:L26" si="7">J24*0.05</f>
        <v>#REF!</v>
      </c>
      <c r="M24" s="100">
        <v>30</v>
      </c>
      <c r="N24" s="100">
        <v>20</v>
      </c>
      <c r="O24" s="100">
        <v>15</v>
      </c>
      <c r="P24" s="100">
        <v>15</v>
      </c>
      <c r="Q24" s="100">
        <v>10</v>
      </c>
      <c r="R24" s="100">
        <v>60</v>
      </c>
      <c r="S24" s="100">
        <v>20</v>
      </c>
      <c r="T24" s="103"/>
      <c r="U24" s="104" t="e">
        <f>SUM(J24:S24)</f>
        <v>#REF!</v>
      </c>
      <c r="V24" s="5"/>
      <c r="W24" s="104" t="e">
        <f>SUM(L24:V24)</f>
        <v>#REF!</v>
      </c>
      <c r="X24" s="105"/>
      <c r="Y24" s="7"/>
    </row>
    <row r="25" spans="1:25" ht="15.6" thickTop="1" thickBot="1">
      <c r="A25" s="106" t="s">
        <v>58</v>
      </c>
      <c r="B25" s="107">
        <v>1650</v>
      </c>
      <c r="C25" s="108">
        <v>80</v>
      </c>
      <c r="D25" s="108">
        <v>30</v>
      </c>
      <c r="E25" s="108">
        <v>10</v>
      </c>
      <c r="F25" s="108">
        <v>15</v>
      </c>
      <c r="G25" s="108" t="e">
        <f>B25-C25-D25-#REF!-E25-F25</f>
        <v>#REF!</v>
      </c>
      <c r="H25" s="109">
        <v>0.05</v>
      </c>
      <c r="I25" s="4"/>
      <c r="J25" s="110" t="e">
        <f t="shared" si="6"/>
        <v>#REF!</v>
      </c>
      <c r="K25" s="74"/>
      <c r="L25" s="108" t="e">
        <f t="shared" si="7"/>
        <v>#REF!</v>
      </c>
      <c r="M25" s="108">
        <v>30</v>
      </c>
      <c r="N25" s="111">
        <v>20</v>
      </c>
      <c r="O25" s="108">
        <v>15</v>
      </c>
      <c r="P25" s="108">
        <v>15</v>
      </c>
      <c r="Q25" s="108">
        <v>10</v>
      </c>
      <c r="R25" s="108">
        <v>60</v>
      </c>
      <c r="S25" s="108">
        <v>20</v>
      </c>
      <c r="T25" s="112"/>
      <c r="U25" s="113" t="e">
        <f>SUM(J25:S25)</f>
        <v>#REF!</v>
      </c>
      <c r="V25" s="5"/>
      <c r="W25" s="113" t="e">
        <f>SUM(L25:V25)</f>
        <v>#REF!</v>
      </c>
      <c r="X25" s="105"/>
      <c r="Y25" s="7"/>
    </row>
    <row r="26" spans="1:25" ht="15.6" thickTop="1" thickBot="1">
      <c r="A26" s="106" t="s">
        <v>59</v>
      </c>
      <c r="B26" s="107">
        <v>1605</v>
      </c>
      <c r="C26" s="108">
        <v>80</v>
      </c>
      <c r="D26" s="108">
        <v>30</v>
      </c>
      <c r="E26" s="108">
        <v>10</v>
      </c>
      <c r="F26" s="108">
        <v>15</v>
      </c>
      <c r="G26" s="108" t="e">
        <f>B26-C26-D26-#REF!-E26-F26</f>
        <v>#REF!</v>
      </c>
      <c r="H26" s="109">
        <v>0.05</v>
      </c>
      <c r="I26" s="4"/>
      <c r="J26" s="110" t="e">
        <f t="shared" si="6"/>
        <v>#REF!</v>
      </c>
      <c r="K26" s="74"/>
      <c r="L26" s="108" t="e">
        <f t="shared" si="7"/>
        <v>#REF!</v>
      </c>
      <c r="M26" s="108">
        <v>30</v>
      </c>
      <c r="N26" s="111">
        <v>20</v>
      </c>
      <c r="O26" s="108">
        <v>15</v>
      </c>
      <c r="P26" s="108">
        <v>15</v>
      </c>
      <c r="Q26" s="108">
        <v>10</v>
      </c>
      <c r="R26" s="108">
        <v>60</v>
      </c>
      <c r="S26" s="108">
        <v>20</v>
      </c>
      <c r="T26" s="112"/>
      <c r="U26" s="113" t="e">
        <f>SUM(J26:S26)</f>
        <v>#REF!</v>
      </c>
      <c r="V26" s="5"/>
      <c r="W26" s="113" t="e">
        <f>SUM(L26:V26)</f>
        <v>#REF!</v>
      </c>
      <c r="X26" s="105"/>
      <c r="Y26" s="7"/>
    </row>
    <row r="27" spans="1:25" ht="15.6" thickTop="1" thickBot="1">
      <c r="A27" s="114" t="s">
        <v>57</v>
      </c>
      <c r="B27" s="43">
        <f>1820+35+50</f>
        <v>1905</v>
      </c>
      <c r="C27" s="115">
        <v>80</v>
      </c>
      <c r="D27" s="115">
        <v>30</v>
      </c>
      <c r="E27" s="115">
        <v>10</v>
      </c>
      <c r="F27" s="115">
        <v>20</v>
      </c>
      <c r="G27" s="115">
        <f>B27-C27-D27-E27-F27</f>
        <v>1765</v>
      </c>
      <c r="H27" s="116">
        <v>0.05</v>
      </c>
      <c r="I27" s="5"/>
      <c r="J27" s="117">
        <f t="shared" si="6"/>
        <v>1676.75</v>
      </c>
      <c r="K27" s="53"/>
      <c r="L27" s="53">
        <v>80</v>
      </c>
      <c r="M27" s="53">
        <v>70</v>
      </c>
      <c r="N27" s="49">
        <f>20</f>
        <v>20</v>
      </c>
      <c r="O27" s="47">
        <v>10</v>
      </c>
      <c r="P27" s="47">
        <v>20</v>
      </c>
      <c r="Q27" s="47">
        <v>10</v>
      </c>
      <c r="R27" s="49">
        <v>90</v>
      </c>
      <c r="S27" s="53">
        <v>10</v>
      </c>
      <c r="T27" s="54">
        <v>5</v>
      </c>
      <c r="U27" s="118">
        <f>SUM(J27:T27)</f>
        <v>1991.75</v>
      </c>
      <c r="V27" s="51"/>
      <c r="W27" s="118">
        <v>1995</v>
      </c>
      <c r="X27" s="52">
        <v>42</v>
      </c>
      <c r="Y27" s="41">
        <f t="shared" ref="Y27:Y31" si="8">W27/49+1</f>
        <v>41.714285714285715</v>
      </c>
    </row>
    <row r="28" spans="1:25" ht="15.6" thickTop="1" thickBot="1">
      <c r="A28" s="114" t="s">
        <v>58</v>
      </c>
      <c r="B28" s="43">
        <f>1650+35+50</f>
        <v>1735</v>
      </c>
      <c r="C28" s="115">
        <v>80</v>
      </c>
      <c r="D28" s="115">
        <v>30</v>
      </c>
      <c r="E28" s="115">
        <v>10</v>
      </c>
      <c r="F28" s="115">
        <v>20</v>
      </c>
      <c r="G28" s="115">
        <f t="shared" ref="G28:G31" si="9">B28-C28-D28-E28-F28</f>
        <v>1595</v>
      </c>
      <c r="H28" s="116">
        <v>0.05</v>
      </c>
      <c r="I28" s="5"/>
      <c r="J28" s="117">
        <f t="shared" si="6"/>
        <v>1515.25</v>
      </c>
      <c r="K28" s="53"/>
      <c r="L28" s="53">
        <v>80</v>
      </c>
      <c r="M28" s="53">
        <v>70</v>
      </c>
      <c r="N28" s="49">
        <f>20</f>
        <v>20</v>
      </c>
      <c r="O28" s="47">
        <v>10</v>
      </c>
      <c r="P28" s="47">
        <v>20</v>
      </c>
      <c r="Q28" s="47">
        <v>10</v>
      </c>
      <c r="R28" s="49">
        <v>90</v>
      </c>
      <c r="S28" s="53">
        <v>10</v>
      </c>
      <c r="T28" s="54">
        <v>5</v>
      </c>
      <c r="U28" s="118">
        <f>SUM(J28:T28)</f>
        <v>1830.25</v>
      </c>
      <c r="V28" s="51"/>
      <c r="W28" s="118">
        <v>1830</v>
      </c>
      <c r="X28" s="52">
        <v>39</v>
      </c>
      <c r="Y28" s="41">
        <f t="shared" si="8"/>
        <v>38.346938775510203</v>
      </c>
    </row>
    <row r="29" spans="1:25" ht="15.6" thickTop="1" thickBot="1">
      <c r="A29" s="114" t="s">
        <v>59</v>
      </c>
      <c r="B29" s="43">
        <f>1605+35+50</f>
        <v>1690</v>
      </c>
      <c r="C29" s="115">
        <v>80</v>
      </c>
      <c r="D29" s="115">
        <v>30</v>
      </c>
      <c r="E29" s="115">
        <v>10</v>
      </c>
      <c r="F29" s="115">
        <v>20</v>
      </c>
      <c r="G29" s="115">
        <f t="shared" si="9"/>
        <v>1550</v>
      </c>
      <c r="H29" s="116">
        <v>0.05</v>
      </c>
      <c r="I29" s="5"/>
      <c r="J29" s="117">
        <f t="shared" si="6"/>
        <v>1472.5</v>
      </c>
      <c r="K29" s="53"/>
      <c r="L29" s="53">
        <v>80</v>
      </c>
      <c r="M29" s="53">
        <v>70</v>
      </c>
      <c r="N29" s="49">
        <f>20</f>
        <v>20</v>
      </c>
      <c r="O29" s="47">
        <v>10</v>
      </c>
      <c r="P29" s="47">
        <v>20</v>
      </c>
      <c r="Q29" s="47">
        <v>10</v>
      </c>
      <c r="R29" s="49">
        <v>90</v>
      </c>
      <c r="S29" s="53">
        <v>10</v>
      </c>
      <c r="T29" s="54">
        <v>5</v>
      </c>
      <c r="U29" s="118">
        <f>SUM(J29:T29)</f>
        <v>1787.5</v>
      </c>
      <c r="V29" s="51"/>
      <c r="W29" s="118">
        <v>1790</v>
      </c>
      <c r="X29" s="52">
        <v>38</v>
      </c>
      <c r="Y29" s="41">
        <f t="shared" si="8"/>
        <v>37.530612244897959</v>
      </c>
    </row>
    <row r="30" spans="1:25" ht="15.6" thickTop="1" thickBot="1">
      <c r="A30" s="119" t="s">
        <v>60</v>
      </c>
      <c r="B30" s="120">
        <f>1645+50+50</f>
        <v>1745</v>
      </c>
      <c r="C30" s="115">
        <v>80</v>
      </c>
      <c r="D30" s="115">
        <v>30</v>
      </c>
      <c r="E30" s="115">
        <v>10</v>
      </c>
      <c r="F30" s="115">
        <v>20</v>
      </c>
      <c r="G30" s="115">
        <f t="shared" si="9"/>
        <v>1605</v>
      </c>
      <c r="H30" s="116">
        <v>0.05</v>
      </c>
      <c r="I30" s="5"/>
      <c r="J30" s="121">
        <f t="shared" si="6"/>
        <v>1524.75</v>
      </c>
      <c r="K30" s="122"/>
      <c r="L30" s="53">
        <v>80</v>
      </c>
      <c r="M30" s="53">
        <v>70</v>
      </c>
      <c r="N30" s="49">
        <f>20</f>
        <v>20</v>
      </c>
      <c r="O30" s="47">
        <v>10</v>
      </c>
      <c r="P30" s="47">
        <v>20</v>
      </c>
      <c r="Q30" s="47">
        <v>10</v>
      </c>
      <c r="R30" s="49">
        <v>90</v>
      </c>
      <c r="S30" s="53">
        <v>10</v>
      </c>
      <c r="T30" s="54">
        <v>5</v>
      </c>
      <c r="U30" s="123">
        <f>SUM(J30:T30)</f>
        <v>1839.75</v>
      </c>
      <c r="V30" s="51"/>
      <c r="W30" s="123">
        <v>1840</v>
      </c>
      <c r="X30" s="52">
        <v>39</v>
      </c>
      <c r="Y30" s="41">
        <f t="shared" si="8"/>
        <v>38.551020408163268</v>
      </c>
    </row>
    <row r="31" spans="1:25" ht="15.6" thickTop="1" thickBot="1">
      <c r="A31" s="124" t="s">
        <v>61</v>
      </c>
      <c r="B31" s="125">
        <f>1795+35+50</f>
        <v>1880</v>
      </c>
      <c r="C31" s="126">
        <v>80</v>
      </c>
      <c r="D31" s="126">
        <v>30</v>
      </c>
      <c r="E31" s="126">
        <v>10</v>
      </c>
      <c r="F31" s="126">
        <v>20</v>
      </c>
      <c r="G31" s="126">
        <f t="shared" si="9"/>
        <v>1740</v>
      </c>
      <c r="H31" s="127">
        <v>0.05</v>
      </c>
      <c r="I31" s="128"/>
      <c r="J31" s="129">
        <f t="shared" si="6"/>
        <v>1653</v>
      </c>
      <c r="K31" s="130"/>
      <c r="L31" s="130">
        <v>80</v>
      </c>
      <c r="M31" s="130">
        <v>70</v>
      </c>
      <c r="N31" s="49">
        <f>20</f>
        <v>20</v>
      </c>
      <c r="O31" s="47">
        <v>10</v>
      </c>
      <c r="P31" s="47">
        <v>20</v>
      </c>
      <c r="Q31" s="47">
        <v>10</v>
      </c>
      <c r="R31" s="49">
        <v>90</v>
      </c>
      <c r="S31" s="53">
        <v>10</v>
      </c>
      <c r="T31" s="49">
        <v>5</v>
      </c>
      <c r="U31" s="50">
        <f>SUM(J31:T31)</f>
        <v>1968</v>
      </c>
      <c r="V31" s="131"/>
      <c r="W31" s="50">
        <v>1970</v>
      </c>
      <c r="X31" s="52">
        <v>41</v>
      </c>
      <c r="Y31" s="41">
        <f t="shared" si="8"/>
        <v>41.204081632653065</v>
      </c>
    </row>
  </sheetData>
  <mergeCells count="7">
    <mergeCell ref="B4:H4"/>
    <mergeCell ref="J4:X4"/>
    <mergeCell ref="A5:A6"/>
    <mergeCell ref="B5:B6"/>
    <mergeCell ref="M5:N5"/>
    <mergeCell ref="O6:Q6"/>
    <mergeCell ref="R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C070-D127-46BA-9695-0F499BFF11E5}">
  <dimension ref="A1:R68"/>
  <sheetViews>
    <sheetView topLeftCell="A35" zoomScale="70" zoomScaleNormal="70" workbookViewId="0">
      <selection activeCell="C76" sqref="C75:C76"/>
    </sheetView>
  </sheetViews>
  <sheetFormatPr defaultRowHeight="14.4"/>
  <cols>
    <col min="1" max="1" width="23.109375" customWidth="1"/>
    <col min="2" max="2" width="13.109375" customWidth="1"/>
    <col min="3" max="3" width="17.5546875" customWidth="1"/>
    <col min="4" max="4" width="18.88671875" customWidth="1"/>
    <col min="5" max="5" width="13.5546875" customWidth="1"/>
    <col min="6" max="6" width="13.6640625" customWidth="1"/>
    <col min="7" max="7" width="16.6640625" customWidth="1"/>
    <col min="8" max="8" width="17.44140625" customWidth="1"/>
    <col min="9" max="9" width="14.6640625" customWidth="1"/>
    <col min="10" max="10" width="13.33203125" customWidth="1"/>
    <col min="11" max="11" width="13.21875" customWidth="1"/>
    <col min="13" max="13" width="21.21875" customWidth="1"/>
    <col min="14" max="14" width="13.6640625" customWidth="1"/>
    <col min="15" max="15" width="10.33203125" customWidth="1"/>
  </cols>
  <sheetData>
    <row r="1" spans="1:18" ht="15.6" thickTop="1" thickBot="1">
      <c r="A1" s="266" t="s">
        <v>119</v>
      </c>
      <c r="B1" s="262" t="s">
        <v>120</v>
      </c>
      <c r="C1" s="268" t="s">
        <v>121</v>
      </c>
      <c r="D1" s="270" t="s">
        <v>122</v>
      </c>
      <c r="E1" s="271"/>
      <c r="F1" s="272"/>
      <c r="G1" s="273" t="s">
        <v>123</v>
      </c>
      <c r="H1" s="194" t="s">
        <v>124</v>
      </c>
      <c r="I1" s="275" t="s">
        <v>125</v>
      </c>
      <c r="J1" s="195" t="s">
        <v>126</v>
      </c>
      <c r="K1" s="195" t="s">
        <v>127</v>
      </c>
      <c r="L1" s="195" t="s">
        <v>18</v>
      </c>
      <c r="M1" s="263" t="s">
        <v>128</v>
      </c>
      <c r="N1" s="196" t="s">
        <v>129</v>
      </c>
      <c r="O1" s="197"/>
      <c r="P1" s="198"/>
      <c r="Q1" s="198"/>
      <c r="R1" s="198"/>
    </row>
    <row r="2" spans="1:18" ht="15.6" thickTop="1" thickBot="1">
      <c r="A2" s="267"/>
      <c r="B2" s="267"/>
      <c r="C2" s="269"/>
      <c r="D2" s="199" t="s">
        <v>130</v>
      </c>
      <c r="E2" s="200" t="s">
        <v>131</v>
      </c>
      <c r="F2" s="199" t="s">
        <v>130</v>
      </c>
      <c r="G2" s="274"/>
      <c r="H2" s="201" t="s">
        <v>132</v>
      </c>
      <c r="I2" s="276"/>
      <c r="J2" s="202" t="s">
        <v>133</v>
      </c>
      <c r="K2" s="203">
        <v>0.15</v>
      </c>
      <c r="L2" s="203">
        <v>0.05</v>
      </c>
      <c r="M2" s="264"/>
      <c r="N2" s="204" t="s">
        <v>134</v>
      </c>
      <c r="O2" s="205" t="s">
        <v>67</v>
      </c>
      <c r="P2" s="198"/>
      <c r="Q2" s="198"/>
      <c r="R2" s="198"/>
    </row>
    <row r="3" spans="1:18" ht="15.6" thickTop="1" thickBot="1">
      <c r="A3" s="206"/>
      <c r="B3" s="206"/>
      <c r="C3" s="207"/>
      <c r="D3" s="207"/>
      <c r="E3" s="206"/>
      <c r="F3" s="207"/>
      <c r="G3" s="206"/>
      <c r="H3" s="206"/>
      <c r="I3" s="198"/>
      <c r="J3" s="198"/>
      <c r="K3" s="198"/>
      <c r="L3" s="198"/>
      <c r="M3" s="198"/>
      <c r="N3" s="198"/>
      <c r="O3" s="198"/>
      <c r="P3" s="198"/>
      <c r="Q3" s="198"/>
      <c r="R3" s="198"/>
    </row>
    <row r="4" spans="1:18" ht="15.6" thickTop="1" thickBot="1">
      <c r="A4" s="208" t="s">
        <v>135</v>
      </c>
      <c r="B4" s="209" t="s">
        <v>136</v>
      </c>
      <c r="C4" s="210">
        <v>2778</v>
      </c>
      <c r="D4" s="211">
        <f t="shared" ref="D4:D34" si="0">C4*0.2</f>
        <v>555.6</v>
      </c>
      <c r="E4" s="211">
        <f t="shared" ref="E4:E34" si="1">(C4-D4)*0.1</f>
        <v>222.24</v>
      </c>
      <c r="F4" s="211">
        <f t="shared" ref="F4:F34" si="2">(C4-D4-E4)*0.2</f>
        <v>400.03200000000004</v>
      </c>
      <c r="G4" s="211">
        <f t="shared" ref="G4:G34" si="3">(C4-D4-E4-F4)</f>
        <v>1600.1280000000002</v>
      </c>
      <c r="H4" s="212">
        <f t="shared" ref="H4:H34" si="4">G4*1.12</f>
        <v>1792.1433600000003</v>
      </c>
      <c r="I4" s="213" t="s">
        <v>137</v>
      </c>
      <c r="J4" s="214">
        <f>H4*1.4</f>
        <v>2509.000704</v>
      </c>
      <c r="K4" s="214">
        <f>J4*0.15</f>
        <v>376.35010560000001</v>
      </c>
      <c r="L4" s="214">
        <f>(J4-K4)*0.05</f>
        <v>106.63252992000001</v>
      </c>
      <c r="M4" s="214" t="s">
        <v>138</v>
      </c>
      <c r="N4" s="215">
        <f>J4-K4-L4</f>
        <v>2026.01806848</v>
      </c>
      <c r="O4" s="215">
        <v>2430</v>
      </c>
      <c r="P4" s="198">
        <f>N4-H4</f>
        <v>233.87470847999975</v>
      </c>
      <c r="Q4" s="198">
        <f>P4/H4</f>
        <v>0.13049999999999984</v>
      </c>
      <c r="R4" s="198"/>
    </row>
    <row r="5" spans="1:18" ht="15.6" thickTop="1" thickBot="1">
      <c r="A5" s="208" t="s">
        <v>139</v>
      </c>
      <c r="B5" s="209" t="s">
        <v>140</v>
      </c>
      <c r="C5" s="210">
        <v>21</v>
      </c>
      <c r="D5" s="211">
        <f t="shared" si="0"/>
        <v>4.2</v>
      </c>
      <c r="E5" s="211">
        <f t="shared" si="1"/>
        <v>1.6800000000000002</v>
      </c>
      <c r="F5" s="211">
        <f t="shared" si="2"/>
        <v>3.0240000000000005</v>
      </c>
      <c r="G5" s="211">
        <f t="shared" si="3"/>
        <v>12.096</v>
      </c>
      <c r="H5" s="212">
        <f t="shared" si="4"/>
        <v>13.547520000000002</v>
      </c>
      <c r="I5" s="213" t="s">
        <v>141</v>
      </c>
      <c r="J5" s="214">
        <f t="shared" ref="J5:J34" si="5">H5*1.4</f>
        <v>18.966528</v>
      </c>
      <c r="K5" s="214">
        <f t="shared" ref="K5:K34" si="6">J5*0.15</f>
        <v>2.8449792</v>
      </c>
      <c r="L5" s="214">
        <f t="shared" ref="L5:L34" si="7">(J5-K5)*0.05</f>
        <v>0.80607744000000003</v>
      </c>
      <c r="M5" s="214" t="s">
        <v>142</v>
      </c>
      <c r="N5" s="215">
        <f t="shared" ref="N5:N34" si="8">J5-K5-L5</f>
        <v>15.31547136</v>
      </c>
      <c r="O5" s="215">
        <v>20</v>
      </c>
      <c r="P5" s="198">
        <f t="shared" ref="P5:P34" si="9">N5-H5</f>
        <v>1.7679513599999979</v>
      </c>
      <c r="Q5" s="198">
        <f t="shared" ref="Q5:Q34" si="10">P5/H5</f>
        <v>0.13049999999999981</v>
      </c>
      <c r="R5" s="198"/>
    </row>
    <row r="6" spans="1:18" ht="15.6" thickTop="1" thickBot="1">
      <c r="A6" s="208" t="s">
        <v>143</v>
      </c>
      <c r="B6" s="209" t="s">
        <v>140</v>
      </c>
      <c r="C6" s="210">
        <v>23</v>
      </c>
      <c r="D6" s="211">
        <f t="shared" si="0"/>
        <v>4.6000000000000005</v>
      </c>
      <c r="E6" s="211">
        <f t="shared" si="1"/>
        <v>1.8399999999999999</v>
      </c>
      <c r="F6" s="211">
        <f t="shared" si="2"/>
        <v>3.3119999999999998</v>
      </c>
      <c r="G6" s="211">
        <f t="shared" si="3"/>
        <v>13.247999999999999</v>
      </c>
      <c r="H6" s="212">
        <f t="shared" si="4"/>
        <v>14.837760000000001</v>
      </c>
      <c r="I6" s="213" t="s">
        <v>141</v>
      </c>
      <c r="J6" s="214">
        <f t="shared" si="5"/>
        <v>20.772864000000002</v>
      </c>
      <c r="K6" s="214">
        <f t="shared" si="6"/>
        <v>3.1159296000000003</v>
      </c>
      <c r="L6" s="214">
        <f t="shared" si="7"/>
        <v>0.88284672000000008</v>
      </c>
      <c r="M6" s="214" t="s">
        <v>142</v>
      </c>
      <c r="N6" s="215">
        <f t="shared" si="8"/>
        <v>16.774087680000001</v>
      </c>
      <c r="O6" s="215">
        <v>20</v>
      </c>
      <c r="P6" s="198">
        <f t="shared" si="9"/>
        <v>1.9363276799999998</v>
      </c>
      <c r="Q6" s="198">
        <f t="shared" si="10"/>
        <v>0.13049999999999998</v>
      </c>
      <c r="R6" s="198"/>
    </row>
    <row r="7" spans="1:18" ht="15.6" thickTop="1" thickBot="1">
      <c r="A7" s="265" t="s">
        <v>144</v>
      </c>
      <c r="B7" s="209" t="s">
        <v>145</v>
      </c>
      <c r="C7" s="210">
        <v>2007</v>
      </c>
      <c r="D7" s="211">
        <f t="shared" si="0"/>
        <v>401.40000000000003</v>
      </c>
      <c r="E7" s="211">
        <f t="shared" si="1"/>
        <v>160.56</v>
      </c>
      <c r="F7" s="211">
        <f t="shared" si="2"/>
        <v>289.00799999999998</v>
      </c>
      <c r="G7" s="211">
        <f t="shared" si="3"/>
        <v>1156.0319999999999</v>
      </c>
      <c r="H7" s="212">
        <f t="shared" si="4"/>
        <v>1294.75584</v>
      </c>
      <c r="I7" s="213" t="s">
        <v>137</v>
      </c>
      <c r="J7" s="214">
        <f t="shared" si="5"/>
        <v>1812.6581759999999</v>
      </c>
      <c r="K7" s="214">
        <f t="shared" si="6"/>
        <v>271.89872639999999</v>
      </c>
      <c r="L7" s="214">
        <f t="shared" si="7"/>
        <v>77.037972480000008</v>
      </c>
      <c r="M7" s="214" t="s">
        <v>138</v>
      </c>
      <c r="N7" s="215">
        <f t="shared" si="8"/>
        <v>1463.7214771199999</v>
      </c>
      <c r="O7" s="215">
        <v>1750</v>
      </c>
      <c r="P7" s="198">
        <f t="shared" si="9"/>
        <v>168.96563711999988</v>
      </c>
      <c r="Q7" s="198">
        <f t="shared" si="10"/>
        <v>0.13049999999999989</v>
      </c>
      <c r="R7" s="198"/>
    </row>
    <row r="8" spans="1:18" ht="15.6" thickTop="1" thickBot="1">
      <c r="A8" s="265"/>
      <c r="B8" s="209" t="s">
        <v>146</v>
      </c>
      <c r="C8" s="210">
        <v>154</v>
      </c>
      <c r="D8" s="211">
        <f t="shared" si="0"/>
        <v>30.8</v>
      </c>
      <c r="E8" s="211">
        <f t="shared" si="1"/>
        <v>12.32</v>
      </c>
      <c r="F8" s="211">
        <f t="shared" si="2"/>
        <v>22.176000000000002</v>
      </c>
      <c r="G8" s="211">
        <f t="shared" si="3"/>
        <v>88.703999999999994</v>
      </c>
      <c r="H8" s="212">
        <f t="shared" si="4"/>
        <v>99.348480000000009</v>
      </c>
      <c r="I8" s="213" t="s">
        <v>141</v>
      </c>
      <c r="J8" s="214">
        <f t="shared" si="5"/>
        <v>139.087872</v>
      </c>
      <c r="K8" s="214">
        <f t="shared" si="6"/>
        <v>20.863180799999999</v>
      </c>
      <c r="L8" s="214">
        <f t="shared" si="7"/>
        <v>5.9112345600000005</v>
      </c>
      <c r="M8" s="214" t="s">
        <v>142</v>
      </c>
      <c r="N8" s="215">
        <f t="shared" si="8"/>
        <v>112.31345664000001</v>
      </c>
      <c r="O8" s="215">
        <v>135</v>
      </c>
      <c r="P8" s="198">
        <f t="shared" si="9"/>
        <v>12.964976640000003</v>
      </c>
      <c r="Q8" s="198">
        <f t="shared" si="10"/>
        <v>0.13050000000000003</v>
      </c>
      <c r="R8" s="198"/>
    </row>
    <row r="9" spans="1:18" ht="15.6" thickTop="1" thickBot="1">
      <c r="A9" s="265"/>
      <c r="B9" s="209" t="s">
        <v>140</v>
      </c>
      <c r="C9" s="210">
        <v>22</v>
      </c>
      <c r="D9" s="211">
        <f t="shared" si="0"/>
        <v>4.4000000000000004</v>
      </c>
      <c r="E9" s="211">
        <f t="shared" si="1"/>
        <v>1.7600000000000002</v>
      </c>
      <c r="F9" s="211">
        <f t="shared" si="2"/>
        <v>3.1680000000000006</v>
      </c>
      <c r="G9" s="211">
        <f t="shared" si="3"/>
        <v>12.672000000000001</v>
      </c>
      <c r="H9" s="212">
        <f t="shared" si="4"/>
        <v>14.192640000000003</v>
      </c>
      <c r="I9" s="213" t="s">
        <v>141</v>
      </c>
      <c r="J9" s="214">
        <f t="shared" si="5"/>
        <v>19.869696000000001</v>
      </c>
      <c r="K9" s="214">
        <f t="shared" si="6"/>
        <v>2.9804544000000002</v>
      </c>
      <c r="L9" s="214">
        <f t="shared" si="7"/>
        <v>0.84446208000000011</v>
      </c>
      <c r="M9" s="214" t="s">
        <v>142</v>
      </c>
      <c r="N9" s="215">
        <f t="shared" si="8"/>
        <v>16.044779520000002</v>
      </c>
      <c r="O9" s="215">
        <v>20</v>
      </c>
      <c r="P9" s="198">
        <f t="shared" si="9"/>
        <v>1.8521395199999997</v>
      </c>
      <c r="Q9" s="198">
        <f t="shared" si="10"/>
        <v>0.13049999999999995</v>
      </c>
      <c r="R9" s="198"/>
    </row>
    <row r="10" spans="1:18" ht="15.6" thickTop="1" thickBot="1">
      <c r="A10" s="265" t="s">
        <v>147</v>
      </c>
      <c r="B10" s="209" t="s">
        <v>145</v>
      </c>
      <c r="C10" s="210">
        <v>6328</v>
      </c>
      <c r="D10" s="211">
        <f t="shared" si="0"/>
        <v>1265.6000000000001</v>
      </c>
      <c r="E10" s="211">
        <f t="shared" si="1"/>
        <v>506.24</v>
      </c>
      <c r="F10" s="211">
        <f t="shared" si="2"/>
        <v>911.23199999999997</v>
      </c>
      <c r="G10" s="211">
        <f t="shared" si="3"/>
        <v>3644.9279999999999</v>
      </c>
      <c r="H10" s="212">
        <f t="shared" si="4"/>
        <v>4082.3193600000004</v>
      </c>
      <c r="I10" s="213" t="s">
        <v>137</v>
      </c>
      <c r="J10" s="214">
        <f t="shared" si="5"/>
        <v>5715.247104</v>
      </c>
      <c r="K10" s="214">
        <f t="shared" si="6"/>
        <v>857.28706560000001</v>
      </c>
      <c r="L10" s="214">
        <f t="shared" si="7"/>
        <v>242.89800192000004</v>
      </c>
      <c r="M10" s="214" t="s">
        <v>138</v>
      </c>
      <c r="N10" s="215">
        <f t="shared" si="8"/>
        <v>4615.0620364800006</v>
      </c>
      <c r="O10" s="215">
        <v>5550</v>
      </c>
      <c r="P10" s="198">
        <f t="shared" si="9"/>
        <v>532.74267648000023</v>
      </c>
      <c r="Q10" s="198">
        <f t="shared" si="10"/>
        <v>0.13050000000000003</v>
      </c>
      <c r="R10" s="198"/>
    </row>
    <row r="11" spans="1:18" ht="15.6" thickTop="1" thickBot="1">
      <c r="A11" s="265"/>
      <c r="B11" s="209" t="s">
        <v>146</v>
      </c>
      <c r="C11" s="210">
        <v>364</v>
      </c>
      <c r="D11" s="211">
        <f t="shared" si="0"/>
        <v>72.8</v>
      </c>
      <c r="E11" s="211">
        <f t="shared" si="1"/>
        <v>29.12</v>
      </c>
      <c r="F11" s="211">
        <f t="shared" si="2"/>
        <v>52.415999999999997</v>
      </c>
      <c r="G11" s="211">
        <f t="shared" si="3"/>
        <v>209.66399999999999</v>
      </c>
      <c r="H11" s="212">
        <f t="shared" si="4"/>
        <v>234.82368</v>
      </c>
      <c r="I11" s="213" t="s">
        <v>141</v>
      </c>
      <c r="J11" s="214">
        <f t="shared" si="5"/>
        <v>328.753152</v>
      </c>
      <c r="K11" s="214">
        <f t="shared" si="6"/>
        <v>49.312972799999997</v>
      </c>
      <c r="L11" s="214">
        <f t="shared" si="7"/>
        <v>13.97200896</v>
      </c>
      <c r="M11" s="214" t="s">
        <v>142</v>
      </c>
      <c r="N11" s="215">
        <f t="shared" si="8"/>
        <v>265.46817024000001</v>
      </c>
      <c r="O11" s="215">
        <v>320</v>
      </c>
      <c r="P11" s="198">
        <f t="shared" si="9"/>
        <v>30.64449024000001</v>
      </c>
      <c r="Q11" s="198">
        <f t="shared" si="10"/>
        <v>0.13050000000000003</v>
      </c>
      <c r="R11" s="198"/>
    </row>
    <row r="12" spans="1:18" ht="15.6" thickTop="1" thickBot="1">
      <c r="A12" s="265"/>
      <c r="B12" s="209" t="s">
        <v>140</v>
      </c>
      <c r="C12" s="210">
        <v>34</v>
      </c>
      <c r="D12" s="211">
        <f t="shared" si="0"/>
        <v>6.8000000000000007</v>
      </c>
      <c r="E12" s="211">
        <f t="shared" si="1"/>
        <v>2.72</v>
      </c>
      <c r="F12" s="211">
        <f t="shared" si="2"/>
        <v>4.8960000000000008</v>
      </c>
      <c r="G12" s="211">
        <f t="shared" si="3"/>
        <v>19.584</v>
      </c>
      <c r="H12" s="212">
        <f t="shared" si="4"/>
        <v>21.934080000000002</v>
      </c>
      <c r="I12" s="213" t="s">
        <v>141</v>
      </c>
      <c r="J12" s="214">
        <f t="shared" si="5"/>
        <v>30.707712000000001</v>
      </c>
      <c r="K12" s="214">
        <f t="shared" si="6"/>
        <v>4.6061567999999999</v>
      </c>
      <c r="L12" s="214">
        <f t="shared" si="7"/>
        <v>1.3050777600000001</v>
      </c>
      <c r="M12" s="214" t="s">
        <v>142</v>
      </c>
      <c r="N12" s="215">
        <f t="shared" si="8"/>
        <v>24.79647744</v>
      </c>
      <c r="O12" s="215">
        <v>30</v>
      </c>
      <c r="P12" s="198">
        <f t="shared" si="9"/>
        <v>2.8623974399999987</v>
      </c>
      <c r="Q12" s="198">
        <f t="shared" si="10"/>
        <v>0.13049999999999992</v>
      </c>
      <c r="R12" s="198"/>
    </row>
    <row r="13" spans="1:18" ht="15.6" thickTop="1" thickBot="1">
      <c r="A13" s="265" t="s">
        <v>148</v>
      </c>
      <c r="B13" s="209" t="s">
        <v>136</v>
      </c>
      <c r="C13" s="210">
        <v>2889</v>
      </c>
      <c r="D13" s="211">
        <f t="shared" si="0"/>
        <v>577.80000000000007</v>
      </c>
      <c r="E13" s="211">
        <f t="shared" si="1"/>
        <v>231.12</v>
      </c>
      <c r="F13" s="211">
        <f t="shared" si="2"/>
        <v>416.01600000000002</v>
      </c>
      <c r="G13" s="211">
        <f t="shared" si="3"/>
        <v>1664.0639999999999</v>
      </c>
      <c r="H13" s="212">
        <f t="shared" si="4"/>
        <v>1863.7516800000001</v>
      </c>
      <c r="I13" s="213" t="s">
        <v>137</v>
      </c>
      <c r="J13" s="214">
        <f t="shared" si="5"/>
        <v>2609.252352</v>
      </c>
      <c r="K13" s="214">
        <f t="shared" si="6"/>
        <v>391.38785279999996</v>
      </c>
      <c r="L13" s="214">
        <f t="shared" si="7"/>
        <v>110.89322496</v>
      </c>
      <c r="M13" s="214" t="s">
        <v>138</v>
      </c>
      <c r="N13" s="215">
        <f t="shared" si="8"/>
        <v>2106.9712742399997</v>
      </c>
      <c r="O13" s="215">
        <v>2530</v>
      </c>
      <c r="P13" s="198">
        <f t="shared" si="9"/>
        <v>243.21959423999965</v>
      </c>
      <c r="Q13" s="198">
        <f t="shared" si="10"/>
        <v>0.13049999999999981</v>
      </c>
      <c r="R13" s="198"/>
    </row>
    <row r="14" spans="1:18" ht="15.6" thickTop="1" thickBot="1">
      <c r="A14" s="265"/>
      <c r="B14" s="209" t="s">
        <v>146</v>
      </c>
      <c r="C14" s="210">
        <v>210</v>
      </c>
      <c r="D14" s="211">
        <f t="shared" si="0"/>
        <v>42</v>
      </c>
      <c r="E14" s="211">
        <f t="shared" si="1"/>
        <v>16.8</v>
      </c>
      <c r="F14" s="211">
        <f t="shared" si="2"/>
        <v>30.24</v>
      </c>
      <c r="G14" s="211">
        <f t="shared" si="3"/>
        <v>120.96</v>
      </c>
      <c r="H14" s="212">
        <f t="shared" si="4"/>
        <v>135.4752</v>
      </c>
      <c r="I14" s="213" t="s">
        <v>141</v>
      </c>
      <c r="J14" s="214">
        <f t="shared" si="5"/>
        <v>189.66528</v>
      </c>
      <c r="K14" s="214">
        <f t="shared" si="6"/>
        <v>28.449791999999999</v>
      </c>
      <c r="L14" s="214">
        <f t="shared" si="7"/>
        <v>8.0607743999999997</v>
      </c>
      <c r="M14" s="214" t="s">
        <v>142</v>
      </c>
      <c r="N14" s="215">
        <f t="shared" si="8"/>
        <v>153.15471359999998</v>
      </c>
      <c r="O14" s="215">
        <v>185</v>
      </c>
      <c r="P14" s="198">
        <f t="shared" si="9"/>
        <v>17.679513599999979</v>
      </c>
      <c r="Q14" s="198">
        <f t="shared" si="10"/>
        <v>0.13049999999999984</v>
      </c>
      <c r="R14" s="198"/>
    </row>
    <row r="15" spans="1:18" ht="15.6" thickTop="1" thickBot="1">
      <c r="A15" s="265"/>
      <c r="B15" s="209" t="s">
        <v>149</v>
      </c>
      <c r="C15" s="210">
        <v>66</v>
      </c>
      <c r="D15" s="211">
        <f t="shared" si="0"/>
        <v>13.200000000000001</v>
      </c>
      <c r="E15" s="211">
        <f t="shared" si="1"/>
        <v>5.28</v>
      </c>
      <c r="F15" s="211">
        <f t="shared" si="2"/>
        <v>9.5039999999999996</v>
      </c>
      <c r="G15" s="211">
        <f t="shared" si="3"/>
        <v>38.015999999999998</v>
      </c>
      <c r="H15" s="212">
        <f t="shared" si="4"/>
        <v>42.577919999999999</v>
      </c>
      <c r="I15" s="213" t="s">
        <v>141</v>
      </c>
      <c r="J15" s="214">
        <f t="shared" si="5"/>
        <v>59.609087999999993</v>
      </c>
      <c r="K15" s="214">
        <f t="shared" si="6"/>
        <v>8.9413631999999978</v>
      </c>
      <c r="L15" s="214">
        <f t="shared" si="7"/>
        <v>2.53338624</v>
      </c>
      <c r="M15" s="214" t="s">
        <v>142</v>
      </c>
      <c r="N15" s="215">
        <f t="shared" si="8"/>
        <v>48.134338559999996</v>
      </c>
      <c r="O15" s="215">
        <v>60</v>
      </c>
      <c r="P15" s="198">
        <f t="shared" si="9"/>
        <v>5.5564185599999973</v>
      </c>
      <c r="Q15" s="198">
        <f t="shared" si="10"/>
        <v>0.13049999999999995</v>
      </c>
      <c r="R15" s="198"/>
    </row>
    <row r="16" spans="1:18" ht="15.6" thickTop="1" thickBot="1">
      <c r="A16" s="265"/>
      <c r="B16" s="209" t="s">
        <v>140</v>
      </c>
      <c r="C16" s="210">
        <v>22</v>
      </c>
      <c r="D16" s="211">
        <f t="shared" si="0"/>
        <v>4.4000000000000004</v>
      </c>
      <c r="E16" s="211">
        <f t="shared" si="1"/>
        <v>1.7600000000000002</v>
      </c>
      <c r="F16" s="211">
        <f t="shared" si="2"/>
        <v>3.1680000000000006</v>
      </c>
      <c r="G16" s="211">
        <f t="shared" si="3"/>
        <v>12.672000000000001</v>
      </c>
      <c r="H16" s="212">
        <f t="shared" si="4"/>
        <v>14.192640000000003</v>
      </c>
      <c r="I16" s="213" t="s">
        <v>141</v>
      </c>
      <c r="J16" s="214">
        <f t="shared" si="5"/>
        <v>19.869696000000001</v>
      </c>
      <c r="K16" s="214">
        <f t="shared" si="6"/>
        <v>2.9804544000000002</v>
      </c>
      <c r="L16" s="214">
        <f t="shared" si="7"/>
        <v>0.84446208000000011</v>
      </c>
      <c r="M16" s="214" t="s">
        <v>142</v>
      </c>
      <c r="N16" s="215">
        <f t="shared" si="8"/>
        <v>16.044779520000002</v>
      </c>
      <c r="O16" s="215">
        <v>20</v>
      </c>
      <c r="P16" s="198">
        <f t="shared" si="9"/>
        <v>1.8521395199999997</v>
      </c>
      <c r="Q16" s="198">
        <f t="shared" si="10"/>
        <v>0.13049999999999995</v>
      </c>
      <c r="R16" s="198"/>
    </row>
    <row r="17" spans="1:18" ht="15.6" thickTop="1" thickBot="1">
      <c r="A17" s="265" t="s">
        <v>150</v>
      </c>
      <c r="B17" s="209" t="s">
        <v>151</v>
      </c>
      <c r="C17" s="210">
        <v>34</v>
      </c>
      <c r="D17" s="211">
        <f t="shared" si="0"/>
        <v>6.8000000000000007</v>
      </c>
      <c r="E17" s="211">
        <f t="shared" si="1"/>
        <v>2.72</v>
      </c>
      <c r="F17" s="211">
        <f t="shared" si="2"/>
        <v>4.8960000000000008</v>
      </c>
      <c r="G17" s="211">
        <f t="shared" si="3"/>
        <v>19.584</v>
      </c>
      <c r="H17" s="212">
        <f t="shared" si="4"/>
        <v>21.934080000000002</v>
      </c>
      <c r="I17" s="213" t="s">
        <v>141</v>
      </c>
      <c r="J17" s="214">
        <f t="shared" si="5"/>
        <v>30.707712000000001</v>
      </c>
      <c r="K17" s="214">
        <f t="shared" si="6"/>
        <v>4.6061567999999999</v>
      </c>
      <c r="L17" s="214">
        <f t="shared" si="7"/>
        <v>1.3050777600000001</v>
      </c>
      <c r="M17" s="214" t="s">
        <v>142</v>
      </c>
      <c r="N17" s="215">
        <f t="shared" si="8"/>
        <v>24.79647744</v>
      </c>
      <c r="O17" s="215">
        <v>30</v>
      </c>
      <c r="P17" s="198">
        <f t="shared" si="9"/>
        <v>2.8623974399999987</v>
      </c>
      <c r="Q17" s="198">
        <f t="shared" si="10"/>
        <v>0.13049999999999992</v>
      </c>
      <c r="R17" s="198"/>
    </row>
    <row r="18" spans="1:18" ht="15.6" thickTop="1" thickBot="1">
      <c r="A18" s="265"/>
      <c r="B18" s="209" t="s">
        <v>140</v>
      </c>
      <c r="C18" s="210">
        <v>12</v>
      </c>
      <c r="D18" s="211">
        <f t="shared" si="0"/>
        <v>2.4000000000000004</v>
      </c>
      <c r="E18" s="211">
        <f t="shared" si="1"/>
        <v>0.96</v>
      </c>
      <c r="F18" s="211">
        <f t="shared" si="2"/>
        <v>1.7280000000000002</v>
      </c>
      <c r="G18" s="211">
        <f t="shared" si="3"/>
        <v>6.9120000000000008</v>
      </c>
      <c r="H18" s="212">
        <f t="shared" si="4"/>
        <v>7.7414400000000017</v>
      </c>
      <c r="I18" s="213" t="s">
        <v>141</v>
      </c>
      <c r="J18" s="214">
        <f t="shared" si="5"/>
        <v>10.838016000000001</v>
      </c>
      <c r="K18" s="214">
        <f t="shared" si="6"/>
        <v>1.6257024000000002</v>
      </c>
      <c r="L18" s="214">
        <f t="shared" si="7"/>
        <v>0.46061568000000008</v>
      </c>
      <c r="M18" s="214" t="s">
        <v>142</v>
      </c>
      <c r="N18" s="215">
        <f t="shared" si="8"/>
        <v>8.7516979200000016</v>
      </c>
      <c r="O18" s="215">
        <v>11</v>
      </c>
      <c r="P18" s="198">
        <f t="shared" si="9"/>
        <v>1.0102579199999999</v>
      </c>
      <c r="Q18" s="198">
        <f t="shared" si="10"/>
        <v>0.13049999999999995</v>
      </c>
      <c r="R18" s="198"/>
    </row>
    <row r="19" spans="1:18" ht="15.6" thickTop="1" thickBot="1">
      <c r="A19" s="208" t="s">
        <v>152</v>
      </c>
      <c r="B19" s="209" t="s">
        <v>136</v>
      </c>
      <c r="C19" s="210">
        <v>3219</v>
      </c>
      <c r="D19" s="211">
        <f t="shared" si="0"/>
        <v>643.80000000000007</v>
      </c>
      <c r="E19" s="211">
        <f t="shared" si="1"/>
        <v>257.52</v>
      </c>
      <c r="F19" s="211">
        <f t="shared" si="2"/>
        <v>463.536</v>
      </c>
      <c r="G19" s="211">
        <f t="shared" si="3"/>
        <v>1854.1439999999998</v>
      </c>
      <c r="H19" s="212">
        <f t="shared" si="4"/>
        <v>2076.6412799999998</v>
      </c>
      <c r="I19" s="213" t="s">
        <v>137</v>
      </c>
      <c r="J19" s="214">
        <f t="shared" si="5"/>
        <v>2907.2977919999994</v>
      </c>
      <c r="K19" s="214">
        <f t="shared" si="6"/>
        <v>436.09466879999991</v>
      </c>
      <c r="L19" s="214">
        <f t="shared" si="7"/>
        <v>123.56015615999998</v>
      </c>
      <c r="M19" s="214" t="s">
        <v>138</v>
      </c>
      <c r="N19" s="215">
        <f t="shared" si="8"/>
        <v>2347.6429670399993</v>
      </c>
      <c r="O19" s="215">
        <v>2820</v>
      </c>
      <c r="P19" s="198">
        <f t="shared" si="9"/>
        <v>271.00168703999952</v>
      </c>
      <c r="Q19" s="198">
        <f t="shared" si="10"/>
        <v>0.13049999999999978</v>
      </c>
      <c r="R19" s="198"/>
    </row>
    <row r="20" spans="1:18" ht="15.6" thickTop="1" thickBot="1">
      <c r="A20" s="208" t="s">
        <v>153</v>
      </c>
      <c r="B20" s="209" t="s">
        <v>136</v>
      </c>
      <c r="C20" s="210">
        <v>3197</v>
      </c>
      <c r="D20" s="211">
        <f t="shared" si="0"/>
        <v>639.40000000000009</v>
      </c>
      <c r="E20" s="211">
        <f t="shared" si="1"/>
        <v>255.76</v>
      </c>
      <c r="F20" s="211">
        <f t="shared" si="2"/>
        <v>460.36800000000005</v>
      </c>
      <c r="G20" s="211">
        <f t="shared" si="3"/>
        <v>1841.4720000000002</v>
      </c>
      <c r="H20" s="212">
        <f t="shared" si="4"/>
        <v>2062.4486400000005</v>
      </c>
      <c r="I20" s="213" t="s">
        <v>137</v>
      </c>
      <c r="J20" s="214">
        <f t="shared" si="5"/>
        <v>2887.4280960000006</v>
      </c>
      <c r="K20" s="214">
        <f t="shared" si="6"/>
        <v>433.11421440000009</v>
      </c>
      <c r="L20" s="214">
        <f t="shared" si="7"/>
        <v>122.71569408000003</v>
      </c>
      <c r="M20" s="214" t="s">
        <v>138</v>
      </c>
      <c r="N20" s="215">
        <f t="shared" si="8"/>
        <v>2331.5981875200005</v>
      </c>
      <c r="O20" s="215">
        <v>2800</v>
      </c>
      <c r="P20" s="198">
        <f t="shared" si="9"/>
        <v>269.14954751999994</v>
      </c>
      <c r="Q20" s="198">
        <f t="shared" si="10"/>
        <v>0.13049999999999995</v>
      </c>
      <c r="R20" s="198"/>
    </row>
    <row r="21" spans="1:18" ht="15.6" thickTop="1" thickBot="1">
      <c r="A21" s="265" t="s">
        <v>154</v>
      </c>
      <c r="B21" s="209" t="s">
        <v>136</v>
      </c>
      <c r="C21" s="210">
        <v>3363</v>
      </c>
      <c r="D21" s="211">
        <f t="shared" si="0"/>
        <v>672.6</v>
      </c>
      <c r="E21" s="211">
        <f t="shared" si="1"/>
        <v>269.04000000000002</v>
      </c>
      <c r="F21" s="211">
        <f t="shared" si="2"/>
        <v>484.27200000000005</v>
      </c>
      <c r="G21" s="211">
        <f t="shared" si="3"/>
        <v>1937.0880000000002</v>
      </c>
      <c r="H21" s="212">
        <f t="shared" si="4"/>
        <v>2169.5385600000004</v>
      </c>
      <c r="I21" s="213" t="s">
        <v>137</v>
      </c>
      <c r="J21" s="214">
        <f t="shared" si="5"/>
        <v>3037.3539840000003</v>
      </c>
      <c r="K21" s="214">
        <f t="shared" si="6"/>
        <v>455.60309760000001</v>
      </c>
      <c r="L21" s="214">
        <f t="shared" si="7"/>
        <v>129.08754432000001</v>
      </c>
      <c r="M21" s="214" t="s">
        <v>138</v>
      </c>
      <c r="N21" s="215">
        <f t="shared" si="8"/>
        <v>2452.6633420799999</v>
      </c>
      <c r="O21" s="215">
        <v>2950</v>
      </c>
      <c r="P21" s="198">
        <f t="shared" si="9"/>
        <v>283.12478207999948</v>
      </c>
      <c r="Q21" s="198">
        <f t="shared" si="10"/>
        <v>0.13049999999999973</v>
      </c>
      <c r="R21" s="198"/>
    </row>
    <row r="22" spans="1:18" ht="15.6" thickTop="1" thickBot="1">
      <c r="A22" s="265"/>
      <c r="B22" s="209" t="s">
        <v>140</v>
      </c>
      <c r="C22" s="210">
        <v>22</v>
      </c>
      <c r="D22" s="211">
        <f t="shared" si="0"/>
        <v>4.4000000000000004</v>
      </c>
      <c r="E22" s="211">
        <f t="shared" si="1"/>
        <v>1.7600000000000002</v>
      </c>
      <c r="F22" s="211">
        <f t="shared" si="2"/>
        <v>3.1680000000000006</v>
      </c>
      <c r="G22" s="211">
        <f t="shared" si="3"/>
        <v>12.672000000000001</v>
      </c>
      <c r="H22" s="212">
        <f t="shared" si="4"/>
        <v>14.192640000000003</v>
      </c>
      <c r="I22" s="213" t="s">
        <v>141</v>
      </c>
      <c r="J22" s="214">
        <f t="shared" si="5"/>
        <v>19.869696000000001</v>
      </c>
      <c r="K22" s="214">
        <f t="shared" si="6"/>
        <v>2.9804544000000002</v>
      </c>
      <c r="L22" s="214">
        <f t="shared" si="7"/>
        <v>0.84446208000000011</v>
      </c>
      <c r="M22" s="214" t="s">
        <v>142</v>
      </c>
      <c r="N22" s="215">
        <f t="shared" si="8"/>
        <v>16.044779520000002</v>
      </c>
      <c r="O22" s="215">
        <v>20</v>
      </c>
      <c r="P22" s="198">
        <f t="shared" si="9"/>
        <v>1.8521395199999997</v>
      </c>
      <c r="Q22" s="198">
        <f t="shared" si="10"/>
        <v>0.13049999999999995</v>
      </c>
      <c r="R22" s="198"/>
    </row>
    <row r="23" spans="1:18" ht="15.6" thickTop="1" thickBot="1">
      <c r="A23" s="265" t="s">
        <v>155</v>
      </c>
      <c r="B23" s="209" t="s">
        <v>156</v>
      </c>
      <c r="C23" s="216">
        <v>419</v>
      </c>
      <c r="D23" s="211">
        <f t="shared" si="0"/>
        <v>83.800000000000011</v>
      </c>
      <c r="E23" s="211">
        <f t="shared" si="1"/>
        <v>33.520000000000003</v>
      </c>
      <c r="F23" s="211">
        <f t="shared" si="2"/>
        <v>60.336000000000006</v>
      </c>
      <c r="G23" s="211">
        <f t="shared" si="3"/>
        <v>241.34399999999999</v>
      </c>
      <c r="H23" s="212">
        <f t="shared" si="4"/>
        <v>270.30528000000004</v>
      </c>
      <c r="I23" s="213" t="s">
        <v>137</v>
      </c>
      <c r="J23" s="214">
        <f t="shared" si="5"/>
        <v>378.42739200000005</v>
      </c>
      <c r="K23" s="214">
        <f t="shared" si="6"/>
        <v>56.76410880000001</v>
      </c>
      <c r="L23" s="214">
        <f t="shared" si="7"/>
        <v>16.083164160000003</v>
      </c>
      <c r="M23" s="214" t="s">
        <v>138</v>
      </c>
      <c r="N23" s="215">
        <f t="shared" si="8"/>
        <v>305.58011904</v>
      </c>
      <c r="O23" s="215">
        <v>370</v>
      </c>
      <c r="P23" s="198">
        <f t="shared" si="9"/>
        <v>35.274839039999961</v>
      </c>
      <c r="Q23" s="198">
        <f t="shared" si="10"/>
        <v>0.13049999999999984</v>
      </c>
      <c r="R23" s="198"/>
    </row>
    <row r="24" spans="1:18" ht="15.6" thickTop="1" thickBot="1">
      <c r="A24" s="265"/>
      <c r="B24" s="209" t="s">
        <v>157</v>
      </c>
      <c r="C24" s="216">
        <v>149</v>
      </c>
      <c r="D24" s="211">
        <f t="shared" si="0"/>
        <v>29.8</v>
      </c>
      <c r="E24" s="211">
        <f t="shared" si="1"/>
        <v>11.920000000000002</v>
      </c>
      <c r="F24" s="211">
        <f t="shared" si="2"/>
        <v>21.456000000000003</v>
      </c>
      <c r="G24" s="211">
        <f t="shared" si="3"/>
        <v>85.823999999999998</v>
      </c>
      <c r="H24" s="212">
        <f t="shared" si="4"/>
        <v>96.122880000000009</v>
      </c>
      <c r="I24" s="213" t="s">
        <v>141</v>
      </c>
      <c r="J24" s="214">
        <f t="shared" si="5"/>
        <v>134.57203200000001</v>
      </c>
      <c r="K24" s="214">
        <f t="shared" si="6"/>
        <v>20.1858048</v>
      </c>
      <c r="L24" s="214">
        <f t="shared" si="7"/>
        <v>5.7193113600000007</v>
      </c>
      <c r="M24" s="214" t="s">
        <v>142</v>
      </c>
      <c r="N24" s="215">
        <f t="shared" si="8"/>
        <v>108.66691584</v>
      </c>
      <c r="O24" s="215">
        <v>135</v>
      </c>
      <c r="P24" s="198">
        <f t="shared" si="9"/>
        <v>12.544035839999992</v>
      </c>
      <c r="Q24" s="198">
        <f t="shared" si="10"/>
        <v>0.13049999999999989</v>
      </c>
      <c r="R24" s="198"/>
    </row>
    <row r="25" spans="1:18" ht="15.6" thickTop="1" thickBot="1">
      <c r="A25" s="208" t="s">
        <v>158</v>
      </c>
      <c r="B25" s="209" t="s">
        <v>159</v>
      </c>
      <c r="C25" s="210">
        <v>436</v>
      </c>
      <c r="D25" s="211">
        <f t="shared" si="0"/>
        <v>87.2</v>
      </c>
      <c r="E25" s="211">
        <f t="shared" si="1"/>
        <v>34.880000000000003</v>
      </c>
      <c r="F25" s="211">
        <f t="shared" si="2"/>
        <v>62.784000000000006</v>
      </c>
      <c r="G25" s="211">
        <f t="shared" si="3"/>
        <v>251.13600000000002</v>
      </c>
      <c r="H25" s="212">
        <f t="shared" si="4"/>
        <v>281.27232000000004</v>
      </c>
      <c r="I25" s="213" t="s">
        <v>141</v>
      </c>
      <c r="J25" s="214">
        <f t="shared" si="5"/>
        <v>393.78124800000001</v>
      </c>
      <c r="K25" s="214">
        <f t="shared" si="6"/>
        <v>59.067187199999999</v>
      </c>
      <c r="L25" s="214">
        <f t="shared" si="7"/>
        <v>16.735703040000001</v>
      </c>
      <c r="M25" s="214" t="s">
        <v>142</v>
      </c>
      <c r="N25" s="215">
        <f t="shared" si="8"/>
        <v>317.97835776000005</v>
      </c>
      <c r="O25" s="215">
        <v>390</v>
      </c>
      <c r="P25" s="198">
        <f t="shared" si="9"/>
        <v>36.706037760000015</v>
      </c>
      <c r="Q25" s="198">
        <f t="shared" si="10"/>
        <v>0.13050000000000003</v>
      </c>
      <c r="R25" s="198"/>
    </row>
    <row r="26" spans="1:18" ht="15.6" thickTop="1" thickBot="1">
      <c r="A26" s="265" t="s">
        <v>160</v>
      </c>
      <c r="B26" s="209" t="s">
        <v>156</v>
      </c>
      <c r="C26" s="210">
        <v>298</v>
      </c>
      <c r="D26" s="211">
        <f t="shared" si="0"/>
        <v>59.6</v>
      </c>
      <c r="E26" s="211">
        <f t="shared" si="1"/>
        <v>23.840000000000003</v>
      </c>
      <c r="F26" s="211">
        <f t="shared" si="2"/>
        <v>42.912000000000006</v>
      </c>
      <c r="G26" s="211">
        <f t="shared" si="3"/>
        <v>171.648</v>
      </c>
      <c r="H26" s="212">
        <f t="shared" si="4"/>
        <v>192.24576000000002</v>
      </c>
      <c r="I26" s="213" t="s">
        <v>137</v>
      </c>
      <c r="J26" s="214">
        <f t="shared" si="5"/>
        <v>269.14406400000001</v>
      </c>
      <c r="K26" s="214">
        <f t="shared" si="6"/>
        <v>40.371609599999999</v>
      </c>
      <c r="L26" s="214">
        <f t="shared" si="7"/>
        <v>11.438622720000001</v>
      </c>
      <c r="M26" s="214" t="s">
        <v>138</v>
      </c>
      <c r="N26" s="215">
        <f t="shared" si="8"/>
        <v>217.33383168</v>
      </c>
      <c r="O26" s="215">
        <v>265</v>
      </c>
      <c r="P26" s="198">
        <f t="shared" si="9"/>
        <v>25.088071679999985</v>
      </c>
      <c r="Q26" s="198">
        <f t="shared" si="10"/>
        <v>0.13049999999999989</v>
      </c>
      <c r="R26" s="198"/>
    </row>
    <row r="27" spans="1:18" ht="15.6" thickTop="1" thickBot="1">
      <c r="A27" s="265"/>
      <c r="B27" s="209" t="s">
        <v>161</v>
      </c>
      <c r="C27" s="210">
        <v>122</v>
      </c>
      <c r="D27" s="211">
        <f t="shared" si="0"/>
        <v>24.400000000000002</v>
      </c>
      <c r="E27" s="211">
        <f t="shared" si="1"/>
        <v>9.76</v>
      </c>
      <c r="F27" s="211">
        <f t="shared" si="2"/>
        <v>17.567999999999998</v>
      </c>
      <c r="G27" s="211">
        <f t="shared" si="3"/>
        <v>70.271999999999991</v>
      </c>
      <c r="H27" s="212">
        <f t="shared" si="4"/>
        <v>78.704639999999998</v>
      </c>
      <c r="I27" s="213" t="s">
        <v>141</v>
      </c>
      <c r="J27" s="214">
        <f t="shared" si="5"/>
        <v>110.18649599999999</v>
      </c>
      <c r="K27" s="214">
        <f t="shared" si="6"/>
        <v>16.527974399999998</v>
      </c>
      <c r="L27" s="214">
        <f t="shared" si="7"/>
        <v>4.6829260800000005</v>
      </c>
      <c r="M27" s="214" t="s">
        <v>142</v>
      </c>
      <c r="N27" s="215">
        <f t="shared" si="8"/>
        <v>88.975595519999999</v>
      </c>
      <c r="O27" s="215">
        <v>110</v>
      </c>
      <c r="P27" s="198">
        <f t="shared" si="9"/>
        <v>10.270955520000001</v>
      </c>
      <c r="Q27" s="198">
        <f t="shared" si="10"/>
        <v>0.1305</v>
      </c>
      <c r="R27" s="198"/>
    </row>
    <row r="28" spans="1:18" ht="15.6" thickTop="1" thickBot="1">
      <c r="A28" s="265"/>
      <c r="B28" s="209" t="s">
        <v>162</v>
      </c>
      <c r="C28" s="210">
        <v>44</v>
      </c>
      <c r="D28" s="211">
        <f t="shared" si="0"/>
        <v>8.8000000000000007</v>
      </c>
      <c r="E28" s="211">
        <f t="shared" si="1"/>
        <v>3.5200000000000005</v>
      </c>
      <c r="F28" s="211">
        <f t="shared" si="2"/>
        <v>6.3360000000000012</v>
      </c>
      <c r="G28" s="211">
        <f t="shared" si="3"/>
        <v>25.344000000000001</v>
      </c>
      <c r="H28" s="212">
        <f t="shared" si="4"/>
        <v>28.385280000000005</v>
      </c>
      <c r="I28" s="213" t="s">
        <v>141</v>
      </c>
      <c r="J28" s="214">
        <f t="shared" si="5"/>
        <v>39.739392000000002</v>
      </c>
      <c r="K28" s="214">
        <f t="shared" si="6"/>
        <v>5.9609088000000003</v>
      </c>
      <c r="L28" s="214">
        <f t="shared" si="7"/>
        <v>1.6889241600000002</v>
      </c>
      <c r="M28" s="214" t="s">
        <v>142</v>
      </c>
      <c r="N28" s="215">
        <f t="shared" si="8"/>
        <v>32.089559040000005</v>
      </c>
      <c r="O28" s="215">
        <v>40</v>
      </c>
      <c r="P28" s="198">
        <f t="shared" si="9"/>
        <v>3.7042790399999994</v>
      </c>
      <c r="Q28" s="198">
        <f t="shared" si="10"/>
        <v>0.13049999999999995</v>
      </c>
      <c r="R28" s="198"/>
    </row>
    <row r="29" spans="1:18" ht="15.6" thickTop="1" thickBot="1">
      <c r="A29" s="208" t="s">
        <v>163</v>
      </c>
      <c r="B29" s="209" t="s">
        <v>159</v>
      </c>
      <c r="C29" s="210">
        <v>473</v>
      </c>
      <c r="D29" s="211">
        <f t="shared" si="0"/>
        <v>94.600000000000009</v>
      </c>
      <c r="E29" s="211">
        <f t="shared" si="1"/>
        <v>37.839999999999996</v>
      </c>
      <c r="F29" s="211">
        <f t="shared" si="2"/>
        <v>68.112000000000009</v>
      </c>
      <c r="G29" s="211">
        <f t="shared" si="3"/>
        <v>272.44799999999998</v>
      </c>
      <c r="H29" s="212">
        <f t="shared" si="4"/>
        <v>305.14176000000003</v>
      </c>
      <c r="I29" s="213" t="s">
        <v>141</v>
      </c>
      <c r="J29" s="214">
        <f t="shared" si="5"/>
        <v>427.198464</v>
      </c>
      <c r="K29" s="214">
        <f t="shared" si="6"/>
        <v>64.079769599999992</v>
      </c>
      <c r="L29" s="214">
        <f t="shared" si="7"/>
        <v>18.155934720000001</v>
      </c>
      <c r="M29" s="214" t="s">
        <v>142</v>
      </c>
      <c r="N29" s="215">
        <f t="shared" si="8"/>
        <v>344.96275967999998</v>
      </c>
      <c r="O29" s="215">
        <v>415</v>
      </c>
      <c r="P29" s="198">
        <f t="shared" si="9"/>
        <v>39.820999679999943</v>
      </c>
      <c r="Q29" s="198">
        <f t="shared" si="10"/>
        <v>0.13049999999999981</v>
      </c>
      <c r="R29" s="198"/>
    </row>
    <row r="30" spans="1:18" ht="15.6" thickTop="1" thickBot="1">
      <c r="A30" s="208" t="s">
        <v>164</v>
      </c>
      <c r="B30" s="209" t="s">
        <v>159</v>
      </c>
      <c r="C30" s="210">
        <v>419</v>
      </c>
      <c r="D30" s="211">
        <f t="shared" si="0"/>
        <v>83.800000000000011</v>
      </c>
      <c r="E30" s="211">
        <f t="shared" si="1"/>
        <v>33.520000000000003</v>
      </c>
      <c r="F30" s="211">
        <f t="shared" si="2"/>
        <v>60.336000000000006</v>
      </c>
      <c r="G30" s="211">
        <f t="shared" si="3"/>
        <v>241.34399999999999</v>
      </c>
      <c r="H30" s="212">
        <f t="shared" si="4"/>
        <v>270.30528000000004</v>
      </c>
      <c r="I30" s="213" t="s">
        <v>141</v>
      </c>
      <c r="J30" s="214">
        <f t="shared" si="5"/>
        <v>378.42739200000005</v>
      </c>
      <c r="K30" s="214">
        <f t="shared" si="6"/>
        <v>56.76410880000001</v>
      </c>
      <c r="L30" s="214">
        <f t="shared" si="7"/>
        <v>16.083164160000003</v>
      </c>
      <c r="M30" s="214" t="s">
        <v>142</v>
      </c>
      <c r="N30" s="215">
        <f t="shared" si="8"/>
        <v>305.58011904</v>
      </c>
      <c r="O30" s="215">
        <v>370</v>
      </c>
      <c r="P30" s="198">
        <f t="shared" si="9"/>
        <v>35.274839039999961</v>
      </c>
      <c r="Q30" s="198">
        <f t="shared" si="10"/>
        <v>0.13049999999999984</v>
      </c>
      <c r="R30" s="198"/>
    </row>
    <row r="31" spans="1:18" ht="15.6" thickTop="1" thickBot="1">
      <c r="A31" s="208" t="s">
        <v>165</v>
      </c>
      <c r="B31" s="209" t="s">
        <v>159</v>
      </c>
      <c r="C31" s="210">
        <v>397</v>
      </c>
      <c r="D31" s="211">
        <f t="shared" si="0"/>
        <v>79.400000000000006</v>
      </c>
      <c r="E31" s="211">
        <f t="shared" si="1"/>
        <v>31.760000000000005</v>
      </c>
      <c r="F31" s="211">
        <f t="shared" si="2"/>
        <v>57.168000000000006</v>
      </c>
      <c r="G31" s="211">
        <f t="shared" si="3"/>
        <v>228.67200000000003</v>
      </c>
      <c r="H31" s="212">
        <f t="shared" si="4"/>
        <v>256.11264000000006</v>
      </c>
      <c r="I31" s="213" t="s">
        <v>141</v>
      </c>
      <c r="J31" s="214">
        <f t="shared" si="5"/>
        <v>358.55769600000008</v>
      </c>
      <c r="K31" s="214">
        <f t="shared" si="6"/>
        <v>53.78365440000001</v>
      </c>
      <c r="L31" s="214">
        <f t="shared" si="7"/>
        <v>15.238702080000005</v>
      </c>
      <c r="M31" s="214" t="s">
        <v>142</v>
      </c>
      <c r="N31" s="215">
        <f t="shared" si="8"/>
        <v>289.53533952000009</v>
      </c>
      <c r="O31" s="215">
        <v>350</v>
      </c>
      <c r="P31" s="198">
        <f t="shared" si="9"/>
        <v>33.422699520000037</v>
      </c>
      <c r="Q31" s="198">
        <f t="shared" si="10"/>
        <v>0.13050000000000012</v>
      </c>
      <c r="R31" s="198"/>
    </row>
    <row r="32" spans="1:18" ht="15.6" thickTop="1" thickBot="1">
      <c r="A32" s="208" t="s">
        <v>166</v>
      </c>
      <c r="B32" s="209" t="s">
        <v>167</v>
      </c>
      <c r="C32" s="210">
        <v>385</v>
      </c>
      <c r="D32" s="211">
        <f t="shared" si="0"/>
        <v>77</v>
      </c>
      <c r="E32" s="211">
        <f t="shared" si="1"/>
        <v>30.8</v>
      </c>
      <c r="F32" s="211">
        <f t="shared" si="2"/>
        <v>55.44</v>
      </c>
      <c r="G32" s="211">
        <f t="shared" si="3"/>
        <v>221.76</v>
      </c>
      <c r="H32" s="212">
        <f t="shared" si="4"/>
        <v>248.37120000000002</v>
      </c>
      <c r="I32" s="213" t="s">
        <v>141</v>
      </c>
      <c r="J32" s="214">
        <f t="shared" si="5"/>
        <v>347.71967999999998</v>
      </c>
      <c r="K32" s="214">
        <f t="shared" si="6"/>
        <v>52.157951999999995</v>
      </c>
      <c r="L32" s="214">
        <f t="shared" si="7"/>
        <v>14.778086400000001</v>
      </c>
      <c r="M32" s="214" t="s">
        <v>142</v>
      </c>
      <c r="N32" s="215">
        <f t="shared" si="8"/>
        <v>280.78364160000001</v>
      </c>
      <c r="O32" s="215">
        <v>350</v>
      </c>
      <c r="P32" s="198">
        <f t="shared" si="9"/>
        <v>32.412441599999994</v>
      </c>
      <c r="Q32" s="198">
        <f t="shared" si="10"/>
        <v>0.13049999999999998</v>
      </c>
      <c r="R32" s="198"/>
    </row>
    <row r="33" spans="1:18" ht="15.6" thickTop="1" thickBot="1">
      <c r="A33" s="265" t="s">
        <v>168</v>
      </c>
      <c r="B33" s="209" t="s">
        <v>169</v>
      </c>
      <c r="C33" s="210">
        <v>1050</v>
      </c>
      <c r="D33" s="211">
        <f t="shared" si="0"/>
        <v>210</v>
      </c>
      <c r="E33" s="211">
        <f t="shared" si="1"/>
        <v>84</v>
      </c>
      <c r="F33" s="211">
        <f t="shared" si="2"/>
        <v>151.20000000000002</v>
      </c>
      <c r="G33" s="211">
        <f t="shared" si="3"/>
        <v>604.79999999999995</v>
      </c>
      <c r="H33" s="212">
        <f t="shared" si="4"/>
        <v>677.37599999999998</v>
      </c>
      <c r="I33" s="211">
        <f>(C33-D33-E33-F33)</f>
        <v>604.79999999999995</v>
      </c>
      <c r="J33" s="214">
        <f t="shared" si="5"/>
        <v>948.32639999999992</v>
      </c>
      <c r="K33" s="214">
        <f t="shared" si="6"/>
        <v>142.24895999999998</v>
      </c>
      <c r="L33" s="214">
        <f t="shared" si="7"/>
        <v>40.303871999999998</v>
      </c>
      <c r="M33" s="198"/>
      <c r="N33" s="215">
        <f t="shared" si="8"/>
        <v>765.77356799999995</v>
      </c>
      <c r="O33" s="215">
        <v>920</v>
      </c>
      <c r="P33" s="198">
        <f t="shared" si="9"/>
        <v>88.397567999999978</v>
      </c>
      <c r="Q33" s="198">
        <f t="shared" si="10"/>
        <v>0.13049999999999998</v>
      </c>
      <c r="R33" s="198"/>
    </row>
    <row r="34" spans="1:18" ht="15.6" thickTop="1" thickBot="1">
      <c r="A34" s="265"/>
      <c r="B34" s="209" t="s">
        <v>170</v>
      </c>
      <c r="C34" s="210">
        <v>100</v>
      </c>
      <c r="D34" s="211">
        <f t="shared" si="0"/>
        <v>20</v>
      </c>
      <c r="E34" s="211">
        <f t="shared" si="1"/>
        <v>8</v>
      </c>
      <c r="F34" s="211">
        <f t="shared" si="2"/>
        <v>14.4</v>
      </c>
      <c r="G34" s="211">
        <f t="shared" si="3"/>
        <v>57.6</v>
      </c>
      <c r="H34" s="212">
        <f t="shared" si="4"/>
        <v>64.512000000000015</v>
      </c>
      <c r="I34" s="211">
        <f>(C34-D34-E34-F34)</f>
        <v>57.6</v>
      </c>
      <c r="J34" s="214">
        <f t="shared" si="5"/>
        <v>90.316800000000015</v>
      </c>
      <c r="K34" s="214">
        <f t="shared" si="6"/>
        <v>13.547520000000002</v>
      </c>
      <c r="L34" s="214">
        <f t="shared" si="7"/>
        <v>3.8384640000000005</v>
      </c>
      <c r="M34" s="198"/>
      <c r="N34" s="215">
        <f t="shared" si="8"/>
        <v>72.930816000000007</v>
      </c>
      <c r="O34" s="215">
        <v>88</v>
      </c>
      <c r="P34" s="198">
        <f t="shared" si="9"/>
        <v>8.4188159999999925</v>
      </c>
      <c r="Q34" s="198">
        <f t="shared" si="10"/>
        <v>0.13049999999999987</v>
      </c>
      <c r="R34" s="198"/>
    </row>
    <row r="35" spans="1:18" ht="15.6" thickTop="1" thickBot="1">
      <c r="A35" s="208"/>
      <c r="B35" s="209"/>
      <c r="C35" s="210"/>
      <c r="D35" s="211"/>
      <c r="E35" s="211"/>
      <c r="F35" s="211"/>
      <c r="G35" s="199" t="s">
        <v>171</v>
      </c>
      <c r="H35" s="211"/>
      <c r="I35" s="211"/>
      <c r="J35" s="217"/>
      <c r="K35" s="217"/>
      <c r="L35" s="217"/>
      <c r="M35" s="198"/>
      <c r="N35" s="198"/>
      <c r="O35" s="198"/>
      <c r="P35" s="198"/>
      <c r="Q35" s="198"/>
      <c r="R35" s="198"/>
    </row>
    <row r="36" spans="1:18" ht="15.6" thickTop="1" thickBot="1">
      <c r="A36" s="208"/>
      <c r="B36" s="209"/>
      <c r="C36" s="210"/>
      <c r="D36" s="211"/>
      <c r="E36" s="211"/>
      <c r="F36" s="211"/>
      <c r="G36" s="218" t="s">
        <v>172</v>
      </c>
      <c r="H36" s="211"/>
      <c r="I36" s="211"/>
      <c r="J36" s="217"/>
      <c r="K36" s="217"/>
      <c r="L36" s="217"/>
      <c r="M36" s="198"/>
      <c r="N36" s="198"/>
      <c r="O36" s="198"/>
      <c r="P36" s="198"/>
      <c r="Q36" s="198"/>
      <c r="R36" s="198"/>
    </row>
    <row r="37" spans="1:18" ht="15.6" thickTop="1" thickBot="1">
      <c r="A37" s="277" t="s">
        <v>173</v>
      </c>
      <c r="B37" s="209" t="s">
        <v>174</v>
      </c>
      <c r="C37" s="210">
        <v>1050</v>
      </c>
      <c r="D37" s="211">
        <f>C37*0.1</f>
        <v>105</v>
      </c>
      <c r="E37" s="211">
        <f>(C37-D37)*0.05</f>
        <v>47.25</v>
      </c>
      <c r="F37" s="211">
        <f>(C37-D37-E37-G37)*0.2</f>
        <v>177.55</v>
      </c>
      <c r="G37" s="211">
        <v>10</v>
      </c>
      <c r="H37" s="212">
        <f>(C37-D37-E37-F37-G37)</f>
        <v>710.2</v>
      </c>
      <c r="I37" s="278" t="s">
        <v>175</v>
      </c>
      <c r="J37" s="214">
        <f t="shared" ref="J37:J40" si="11">H37*1.4</f>
        <v>994.28</v>
      </c>
      <c r="K37" s="214">
        <f t="shared" ref="K37:K40" si="12">J37*0.15</f>
        <v>149.142</v>
      </c>
      <c r="L37" s="214">
        <f t="shared" ref="L37:L40" si="13">(J37-K37)*0.05</f>
        <v>42.256900000000002</v>
      </c>
      <c r="M37" s="198"/>
      <c r="N37" s="215">
        <f t="shared" ref="N37:N40" si="14">J37-K37-L37</f>
        <v>802.88109999999995</v>
      </c>
      <c r="O37" s="215">
        <v>990</v>
      </c>
      <c r="P37" s="198">
        <f t="shared" ref="P37:P40" si="15">N37-H37</f>
        <v>92.681099999999901</v>
      </c>
      <c r="Q37" s="198">
        <f t="shared" ref="Q37:Q40" si="16">P37/H37</f>
        <v>0.13049999999999987</v>
      </c>
      <c r="R37" s="198"/>
    </row>
    <row r="38" spans="1:18" ht="15.6" thickTop="1" thickBot="1">
      <c r="A38" s="277"/>
      <c r="B38" s="209" t="s">
        <v>176</v>
      </c>
      <c r="C38" s="210">
        <v>777</v>
      </c>
      <c r="D38" s="211">
        <f>C38*0.1</f>
        <v>77.7</v>
      </c>
      <c r="E38" s="211">
        <f>(C38-D38)*0.05</f>
        <v>34.964999999999996</v>
      </c>
      <c r="F38" s="211">
        <f>(C38-D38-E38-G38)*0.2</f>
        <v>130.86699999999999</v>
      </c>
      <c r="G38" s="211">
        <v>10</v>
      </c>
      <c r="H38" s="212">
        <f>(C38-D38-E38-F38-G38)</f>
        <v>523.46799999999996</v>
      </c>
      <c r="I38" s="279"/>
      <c r="J38" s="214">
        <f t="shared" si="11"/>
        <v>732.85519999999985</v>
      </c>
      <c r="K38" s="214">
        <f t="shared" si="12"/>
        <v>109.92827999999997</v>
      </c>
      <c r="L38" s="214">
        <f t="shared" si="13"/>
        <v>31.146345999999994</v>
      </c>
      <c r="M38" s="198"/>
      <c r="N38" s="215">
        <f t="shared" si="14"/>
        <v>591.78057399999989</v>
      </c>
      <c r="O38" s="215">
        <v>715</v>
      </c>
      <c r="P38" s="198">
        <f t="shared" si="15"/>
        <v>68.312573999999927</v>
      </c>
      <c r="Q38" s="198">
        <f t="shared" si="16"/>
        <v>0.13049999999999987</v>
      </c>
      <c r="R38" s="198"/>
    </row>
    <row r="39" spans="1:18" ht="15.6" thickTop="1" thickBot="1">
      <c r="A39" s="277"/>
      <c r="B39" s="209" t="s">
        <v>177</v>
      </c>
      <c r="C39" s="210">
        <v>576</v>
      </c>
      <c r="D39" s="211">
        <f>C39*0.1</f>
        <v>57.6</v>
      </c>
      <c r="E39" s="211">
        <f>(C39-D39)*0.05</f>
        <v>25.92</v>
      </c>
      <c r="F39" s="211">
        <f>(C39-D39-E39-G39)*0.2</f>
        <v>97.896000000000001</v>
      </c>
      <c r="G39" s="211">
        <v>3</v>
      </c>
      <c r="H39" s="212">
        <f>(C39-D39-E39-F39-G39)</f>
        <v>391.58399999999995</v>
      </c>
      <c r="I39" s="279"/>
      <c r="J39" s="214">
        <f t="shared" si="11"/>
        <v>548.21759999999983</v>
      </c>
      <c r="K39" s="214">
        <f t="shared" si="12"/>
        <v>82.232639999999975</v>
      </c>
      <c r="L39" s="214">
        <f t="shared" si="13"/>
        <v>23.299247999999995</v>
      </c>
      <c r="M39" s="198"/>
      <c r="N39" s="215">
        <f t="shared" si="14"/>
        <v>442.68571199999991</v>
      </c>
      <c r="O39" s="215">
        <v>550</v>
      </c>
      <c r="P39" s="198">
        <f t="shared" si="15"/>
        <v>51.101711999999964</v>
      </c>
      <c r="Q39" s="198">
        <f t="shared" si="16"/>
        <v>0.13049999999999992</v>
      </c>
      <c r="R39" s="198"/>
    </row>
    <row r="40" spans="1:18" ht="15.6" thickTop="1" thickBot="1">
      <c r="A40" s="277"/>
      <c r="B40" s="209" t="s">
        <v>178</v>
      </c>
      <c r="C40" s="210">
        <v>1015</v>
      </c>
      <c r="D40" s="211">
        <f>C40*0.1</f>
        <v>101.5</v>
      </c>
      <c r="E40" s="211">
        <f>(C40-D40)*0.05</f>
        <v>45.675000000000004</v>
      </c>
      <c r="F40" s="211">
        <f>(C40-D40-E40-G40)*0.2</f>
        <v>171.56500000000003</v>
      </c>
      <c r="G40" s="211">
        <v>10</v>
      </c>
      <c r="H40" s="212">
        <f>(C40-D40-E40-F40-G40)</f>
        <v>686.26</v>
      </c>
      <c r="I40" s="280"/>
      <c r="J40" s="214">
        <f t="shared" si="11"/>
        <v>960.7639999999999</v>
      </c>
      <c r="K40" s="214">
        <f t="shared" si="12"/>
        <v>144.11459999999997</v>
      </c>
      <c r="L40" s="214">
        <f t="shared" si="13"/>
        <v>40.832470000000001</v>
      </c>
      <c r="M40" s="198"/>
      <c r="N40" s="215">
        <f t="shared" si="14"/>
        <v>775.81692999999996</v>
      </c>
      <c r="O40" s="215">
        <v>950</v>
      </c>
      <c r="P40" s="198">
        <f t="shared" si="15"/>
        <v>89.556929999999966</v>
      </c>
      <c r="Q40" s="198">
        <f t="shared" si="16"/>
        <v>0.13049999999999995</v>
      </c>
      <c r="R40" s="198"/>
    </row>
    <row r="41" spans="1:18" ht="15.6" thickTop="1" thickBot="1">
      <c r="A41" s="219"/>
      <c r="B41" s="220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198"/>
      <c r="N41" s="198"/>
      <c r="O41" s="198"/>
      <c r="P41" s="198"/>
      <c r="Q41" s="198"/>
      <c r="R41" s="198"/>
    </row>
    <row r="42" spans="1:18" ht="15.6" thickTop="1" thickBot="1">
      <c r="A42" s="258" t="s">
        <v>119</v>
      </c>
      <c r="B42" s="259" t="s">
        <v>179</v>
      </c>
      <c r="C42" s="221" t="s">
        <v>180</v>
      </c>
      <c r="D42" s="222" t="s">
        <v>131</v>
      </c>
      <c r="E42" s="222" t="s">
        <v>130</v>
      </c>
      <c r="F42" s="222" t="s">
        <v>181</v>
      </c>
      <c r="G42" s="260" t="s">
        <v>182</v>
      </c>
      <c r="H42" s="223" t="s">
        <v>124</v>
      </c>
      <c r="I42" s="262"/>
      <c r="J42" s="220"/>
      <c r="K42" s="220"/>
      <c r="L42" s="220"/>
      <c r="M42" s="198"/>
      <c r="N42" s="198"/>
      <c r="O42" s="198"/>
      <c r="P42" s="198"/>
      <c r="Q42" s="198"/>
      <c r="R42" s="198"/>
    </row>
    <row r="43" spans="1:18" ht="15.6" thickTop="1" thickBot="1">
      <c r="A43" s="258"/>
      <c r="B43" s="259"/>
      <c r="C43" s="224" t="s">
        <v>183</v>
      </c>
      <c r="D43" s="225" t="s">
        <v>184</v>
      </c>
      <c r="E43" s="222" t="s">
        <v>185</v>
      </c>
      <c r="F43" s="222" t="s">
        <v>69</v>
      </c>
      <c r="G43" s="261"/>
      <c r="H43" s="223" t="s">
        <v>132</v>
      </c>
      <c r="I43" s="262"/>
      <c r="J43" s="220"/>
      <c r="K43" s="220"/>
      <c r="L43" s="220"/>
      <c r="M43" s="198"/>
      <c r="N43" s="198"/>
      <c r="O43" s="198"/>
      <c r="P43" s="198"/>
      <c r="Q43" s="198"/>
      <c r="R43" s="198"/>
    </row>
    <row r="44" spans="1:18" ht="15.6" thickTop="1" thickBot="1">
      <c r="A44" s="209"/>
      <c r="B44" s="226"/>
      <c r="C44" s="222"/>
      <c r="D44" s="222"/>
      <c r="E44" s="222"/>
      <c r="F44" s="222"/>
      <c r="G44" s="226"/>
      <c r="H44" s="222"/>
      <c r="I44" s="220"/>
      <c r="J44" s="220"/>
      <c r="K44" s="220"/>
      <c r="L44" s="220"/>
      <c r="M44" s="198"/>
      <c r="N44" s="198"/>
      <c r="O44" s="198"/>
      <c r="P44" s="198"/>
      <c r="Q44" s="198"/>
      <c r="R44" s="198"/>
    </row>
    <row r="45" spans="1:18" ht="15.6" thickTop="1" thickBot="1">
      <c r="A45" s="227" t="s">
        <v>186</v>
      </c>
      <c r="B45" s="228" t="s">
        <v>187</v>
      </c>
      <c r="C45" s="228">
        <v>3486</v>
      </c>
      <c r="D45" s="228">
        <f>C45*0.1</f>
        <v>348.6</v>
      </c>
      <c r="E45" s="228">
        <f>C45*0.2</f>
        <v>697.2</v>
      </c>
      <c r="F45" s="228">
        <f>C45*0.05</f>
        <v>174.3</v>
      </c>
      <c r="G45" s="228">
        <f>(C45-D45-E45-F45)</f>
        <v>2265.8999999999996</v>
      </c>
      <c r="H45" s="228">
        <f>G45*1.12</f>
        <v>2537.808</v>
      </c>
      <c r="I45" s="229"/>
      <c r="J45" s="229"/>
      <c r="K45" s="229"/>
      <c r="L45" s="229"/>
      <c r="M45" s="198"/>
      <c r="N45" s="198"/>
      <c r="O45" s="198"/>
      <c r="P45" s="198"/>
      <c r="Q45" s="198"/>
      <c r="R45" s="198"/>
    </row>
    <row r="46" spans="1:18" ht="15.6" thickTop="1" thickBot="1">
      <c r="A46" s="227" t="s">
        <v>188</v>
      </c>
      <c r="B46" s="228" t="s">
        <v>189</v>
      </c>
      <c r="C46" s="228">
        <v>5150</v>
      </c>
      <c r="D46" s="228">
        <f t="shared" ref="D46:D58" si="17">C46*0.1</f>
        <v>515</v>
      </c>
      <c r="E46" s="228">
        <f t="shared" ref="E46:E58" si="18">C46*0.2</f>
        <v>1030</v>
      </c>
      <c r="F46" s="228">
        <f t="shared" ref="F46:F58" si="19">C46*0.05</f>
        <v>257.5</v>
      </c>
      <c r="G46" s="228">
        <f t="shared" ref="G46:G58" si="20">(C46-D46-E46-F46)</f>
        <v>3347.5</v>
      </c>
      <c r="H46" s="228">
        <f t="shared" ref="H46:H58" si="21">G46*1.12</f>
        <v>3749.2000000000003</v>
      </c>
      <c r="I46" s="229"/>
      <c r="J46" s="229"/>
      <c r="K46" s="229"/>
      <c r="L46" s="229"/>
      <c r="M46" s="198"/>
      <c r="N46" s="198"/>
      <c r="O46" s="198"/>
      <c r="P46" s="198"/>
      <c r="Q46" s="198"/>
      <c r="R46" s="198"/>
    </row>
    <row r="47" spans="1:18" ht="15.6" thickTop="1" thickBot="1">
      <c r="A47" s="227" t="s">
        <v>190</v>
      </c>
      <c r="B47" s="228" t="s">
        <v>187</v>
      </c>
      <c r="C47" s="228">
        <v>1523</v>
      </c>
      <c r="D47" s="228">
        <f t="shared" si="17"/>
        <v>152.30000000000001</v>
      </c>
      <c r="E47" s="228">
        <f t="shared" si="18"/>
        <v>304.60000000000002</v>
      </c>
      <c r="F47" s="228">
        <f t="shared" si="19"/>
        <v>76.150000000000006</v>
      </c>
      <c r="G47" s="228">
        <f t="shared" si="20"/>
        <v>989.94999999999993</v>
      </c>
      <c r="H47" s="228">
        <f t="shared" si="21"/>
        <v>1108.7440000000001</v>
      </c>
      <c r="I47" s="229"/>
      <c r="J47" s="229"/>
      <c r="K47" s="229"/>
      <c r="L47" s="229"/>
      <c r="M47" s="198"/>
      <c r="N47" s="198"/>
      <c r="O47" s="198"/>
      <c r="P47" s="198"/>
      <c r="Q47" s="198"/>
      <c r="R47" s="198"/>
    </row>
    <row r="48" spans="1:18" ht="15.6" thickTop="1" thickBot="1">
      <c r="A48" s="227" t="s">
        <v>191</v>
      </c>
      <c r="B48" s="228" t="s">
        <v>192</v>
      </c>
      <c r="C48" s="228">
        <v>2048</v>
      </c>
      <c r="D48" s="228">
        <f t="shared" si="17"/>
        <v>204.8</v>
      </c>
      <c r="E48" s="228">
        <f t="shared" si="18"/>
        <v>409.6</v>
      </c>
      <c r="F48" s="228">
        <f t="shared" si="19"/>
        <v>102.4</v>
      </c>
      <c r="G48" s="228">
        <f t="shared" si="20"/>
        <v>1331.1999999999998</v>
      </c>
      <c r="H48" s="228">
        <f t="shared" si="21"/>
        <v>1490.944</v>
      </c>
      <c r="I48" s="229"/>
      <c r="J48" s="229"/>
      <c r="K48" s="229"/>
      <c r="L48" s="229"/>
      <c r="M48" s="198"/>
      <c r="N48" s="198"/>
      <c r="O48" s="198"/>
      <c r="P48" s="198"/>
      <c r="Q48" s="198"/>
      <c r="R48" s="198"/>
    </row>
    <row r="49" spans="1:18" ht="15.6" thickTop="1" thickBot="1">
      <c r="A49" s="227" t="s">
        <v>193</v>
      </c>
      <c r="B49" s="228" t="s">
        <v>192</v>
      </c>
      <c r="C49" s="228">
        <v>242</v>
      </c>
      <c r="D49" s="228">
        <f t="shared" si="17"/>
        <v>24.200000000000003</v>
      </c>
      <c r="E49" s="228">
        <f t="shared" si="18"/>
        <v>48.400000000000006</v>
      </c>
      <c r="F49" s="228">
        <f t="shared" si="19"/>
        <v>12.100000000000001</v>
      </c>
      <c r="G49" s="228">
        <f t="shared" si="20"/>
        <v>157.30000000000001</v>
      </c>
      <c r="H49" s="228">
        <f t="shared" si="21"/>
        <v>176.17600000000002</v>
      </c>
      <c r="I49" s="229"/>
      <c r="J49" s="229"/>
      <c r="K49" s="229"/>
      <c r="L49" s="229"/>
      <c r="M49" s="198"/>
      <c r="N49" s="198"/>
      <c r="O49" s="198"/>
      <c r="P49" s="198"/>
      <c r="Q49" s="198"/>
      <c r="R49" s="198"/>
    </row>
    <row r="50" spans="1:18" ht="15.6" thickTop="1" thickBot="1">
      <c r="A50" s="227" t="s">
        <v>194</v>
      </c>
      <c r="B50" s="228" t="s">
        <v>192</v>
      </c>
      <c r="C50" s="228">
        <v>1586</v>
      </c>
      <c r="D50" s="228">
        <f t="shared" si="17"/>
        <v>158.60000000000002</v>
      </c>
      <c r="E50" s="228">
        <f t="shared" si="18"/>
        <v>317.20000000000005</v>
      </c>
      <c r="F50" s="228">
        <f t="shared" si="19"/>
        <v>79.300000000000011</v>
      </c>
      <c r="G50" s="228">
        <f t="shared" si="20"/>
        <v>1030.9000000000001</v>
      </c>
      <c r="H50" s="228">
        <f t="shared" si="21"/>
        <v>1154.6080000000002</v>
      </c>
      <c r="I50" s="229"/>
      <c r="J50" s="229"/>
      <c r="K50" s="229"/>
      <c r="L50" s="229"/>
      <c r="M50" s="198"/>
      <c r="N50" s="198"/>
      <c r="O50" s="198"/>
      <c r="P50" s="198"/>
      <c r="Q50" s="198"/>
      <c r="R50" s="198"/>
    </row>
    <row r="51" spans="1:18" ht="15.6" thickTop="1" thickBot="1">
      <c r="A51" s="227" t="s">
        <v>195</v>
      </c>
      <c r="B51" s="228" t="s">
        <v>196</v>
      </c>
      <c r="C51" s="228">
        <v>662</v>
      </c>
      <c r="D51" s="228">
        <f t="shared" si="17"/>
        <v>66.2</v>
      </c>
      <c r="E51" s="228">
        <f t="shared" si="18"/>
        <v>132.4</v>
      </c>
      <c r="F51" s="228">
        <f t="shared" si="19"/>
        <v>33.1</v>
      </c>
      <c r="G51" s="228">
        <f t="shared" si="20"/>
        <v>430.29999999999995</v>
      </c>
      <c r="H51" s="228">
        <f t="shared" si="21"/>
        <v>481.93599999999998</v>
      </c>
      <c r="I51" s="229"/>
      <c r="J51" s="229"/>
      <c r="K51" s="229"/>
      <c r="L51" s="229"/>
      <c r="M51" s="198"/>
      <c r="N51" s="198"/>
      <c r="O51" s="198"/>
      <c r="P51" s="198"/>
      <c r="Q51" s="198"/>
      <c r="R51" s="198"/>
    </row>
    <row r="52" spans="1:18" ht="15.6" thickTop="1" thickBot="1">
      <c r="A52" s="227" t="s">
        <v>197</v>
      </c>
      <c r="B52" s="228" t="s">
        <v>196</v>
      </c>
      <c r="C52" s="228">
        <v>410</v>
      </c>
      <c r="D52" s="228">
        <f t="shared" si="17"/>
        <v>41</v>
      </c>
      <c r="E52" s="228">
        <v>73.8</v>
      </c>
      <c r="F52" s="228">
        <v>14.76</v>
      </c>
      <c r="G52" s="228">
        <f t="shared" si="20"/>
        <v>280.44</v>
      </c>
      <c r="H52" s="228">
        <f t="shared" si="21"/>
        <v>314.09280000000001</v>
      </c>
      <c r="I52" s="229"/>
      <c r="J52" s="229"/>
      <c r="K52" s="229"/>
      <c r="L52" s="229"/>
      <c r="M52" s="198"/>
      <c r="N52" s="198"/>
      <c r="O52" s="198"/>
      <c r="P52" s="198"/>
      <c r="Q52" s="198"/>
      <c r="R52" s="198"/>
    </row>
    <row r="53" spans="1:18" ht="15.6" thickTop="1" thickBot="1">
      <c r="A53" s="227" t="s">
        <v>198</v>
      </c>
      <c r="B53" s="228" t="s">
        <v>157</v>
      </c>
      <c r="C53" s="228">
        <v>74</v>
      </c>
      <c r="D53" s="228">
        <f t="shared" si="17"/>
        <v>7.4</v>
      </c>
      <c r="E53" s="228">
        <f t="shared" si="18"/>
        <v>14.8</v>
      </c>
      <c r="F53" s="228">
        <f t="shared" si="19"/>
        <v>3.7</v>
      </c>
      <c r="G53" s="228">
        <f t="shared" si="20"/>
        <v>48.099999999999994</v>
      </c>
      <c r="H53" s="228">
        <f t="shared" si="21"/>
        <v>53.872</v>
      </c>
      <c r="I53" s="229"/>
      <c r="J53" s="229"/>
      <c r="K53" s="229"/>
      <c r="L53" s="229"/>
      <c r="M53" s="198"/>
      <c r="N53" s="198"/>
      <c r="O53" s="198"/>
      <c r="P53" s="198"/>
      <c r="Q53" s="198"/>
      <c r="R53" s="198"/>
    </row>
    <row r="54" spans="1:18" ht="15.6" thickTop="1" thickBot="1">
      <c r="A54" s="227" t="s">
        <v>199</v>
      </c>
      <c r="B54" s="228" t="s">
        <v>145</v>
      </c>
      <c r="C54" s="228">
        <v>1060</v>
      </c>
      <c r="D54" s="228">
        <f t="shared" si="17"/>
        <v>106</v>
      </c>
      <c r="E54" s="228">
        <f t="shared" si="18"/>
        <v>212</v>
      </c>
      <c r="F54" s="228">
        <f t="shared" si="19"/>
        <v>53</v>
      </c>
      <c r="G54" s="228">
        <f t="shared" si="20"/>
        <v>689</v>
      </c>
      <c r="H54" s="228">
        <f t="shared" si="21"/>
        <v>771.68000000000006</v>
      </c>
      <c r="I54" s="229"/>
      <c r="J54" s="229"/>
      <c r="K54" s="229"/>
      <c r="L54" s="229"/>
      <c r="M54" s="198"/>
      <c r="N54" s="198"/>
      <c r="O54" s="198"/>
      <c r="P54" s="198"/>
      <c r="Q54" s="198"/>
      <c r="R54" s="198"/>
    </row>
    <row r="55" spans="1:18" ht="15.6" thickTop="1" thickBot="1">
      <c r="A55" s="227" t="s">
        <v>200</v>
      </c>
      <c r="B55" s="228" t="s">
        <v>201</v>
      </c>
      <c r="C55" s="228">
        <v>263</v>
      </c>
      <c r="D55" s="228">
        <f t="shared" si="17"/>
        <v>26.3</v>
      </c>
      <c r="E55" s="228">
        <f t="shared" si="18"/>
        <v>52.6</v>
      </c>
      <c r="F55" s="228">
        <f t="shared" si="19"/>
        <v>13.15</v>
      </c>
      <c r="G55" s="228">
        <f t="shared" si="20"/>
        <v>170.95</v>
      </c>
      <c r="H55" s="228">
        <f t="shared" si="21"/>
        <v>191.464</v>
      </c>
      <c r="I55" s="229"/>
      <c r="J55" s="229"/>
      <c r="K55" s="229"/>
      <c r="L55" s="229"/>
      <c r="M55" s="198"/>
      <c r="N55" s="198"/>
      <c r="O55" s="198"/>
      <c r="P55" s="198"/>
      <c r="Q55" s="198"/>
      <c r="R55" s="198"/>
    </row>
    <row r="56" spans="1:18" ht="15.6" thickTop="1" thickBot="1">
      <c r="A56" s="227" t="s">
        <v>202</v>
      </c>
      <c r="B56" s="228" t="s">
        <v>196</v>
      </c>
      <c r="C56" s="228">
        <v>389</v>
      </c>
      <c r="D56" s="228">
        <f t="shared" si="17"/>
        <v>38.900000000000006</v>
      </c>
      <c r="E56" s="228">
        <f t="shared" si="18"/>
        <v>77.800000000000011</v>
      </c>
      <c r="F56" s="228">
        <f t="shared" si="19"/>
        <v>19.450000000000003</v>
      </c>
      <c r="G56" s="228">
        <f t="shared" si="20"/>
        <v>252.85000000000002</v>
      </c>
      <c r="H56" s="228">
        <f t="shared" si="21"/>
        <v>283.19200000000006</v>
      </c>
      <c r="I56" s="229"/>
      <c r="J56" s="229"/>
      <c r="K56" s="229"/>
      <c r="L56" s="229"/>
      <c r="M56" s="198"/>
      <c r="N56" s="198"/>
      <c r="O56" s="198"/>
      <c r="P56" s="198"/>
      <c r="Q56" s="198"/>
      <c r="R56" s="198"/>
    </row>
    <row r="57" spans="1:18" ht="15.6" thickTop="1" thickBot="1">
      <c r="A57" s="227" t="s">
        <v>203</v>
      </c>
      <c r="B57" s="228" t="s">
        <v>189</v>
      </c>
      <c r="C57" s="228">
        <v>12160</v>
      </c>
      <c r="D57" s="228">
        <f t="shared" si="17"/>
        <v>1216</v>
      </c>
      <c r="E57" s="228">
        <f t="shared" si="18"/>
        <v>2432</v>
      </c>
      <c r="F57" s="228">
        <f t="shared" si="19"/>
        <v>608</v>
      </c>
      <c r="G57" s="228">
        <f t="shared" si="20"/>
        <v>7904</v>
      </c>
      <c r="H57" s="228">
        <f t="shared" si="21"/>
        <v>8852.4800000000014</v>
      </c>
      <c r="I57" s="229"/>
      <c r="J57" s="229"/>
      <c r="K57" s="229"/>
      <c r="L57" s="229"/>
      <c r="M57" s="198"/>
      <c r="N57" s="198"/>
      <c r="O57" s="198"/>
      <c r="P57" s="198"/>
      <c r="Q57" s="198"/>
      <c r="R57" s="198"/>
    </row>
    <row r="58" spans="1:18" ht="15.6" thickTop="1" thickBot="1">
      <c r="A58" s="265" t="s">
        <v>204</v>
      </c>
      <c r="B58" s="228" t="s">
        <v>205</v>
      </c>
      <c r="C58" s="230">
        <v>717</v>
      </c>
      <c r="D58" s="228">
        <f t="shared" si="17"/>
        <v>71.7</v>
      </c>
      <c r="E58" s="228">
        <f t="shared" si="18"/>
        <v>143.4</v>
      </c>
      <c r="F58" s="228">
        <f t="shared" si="19"/>
        <v>35.85</v>
      </c>
      <c r="G58" s="228">
        <f t="shared" si="20"/>
        <v>466.04999999999995</v>
      </c>
      <c r="H58" s="231">
        <f t="shared" si="21"/>
        <v>521.976</v>
      </c>
      <c r="I58" s="229"/>
      <c r="J58" s="214">
        <f t="shared" ref="J58" si="22">H58*1.4</f>
        <v>730.76639999999998</v>
      </c>
      <c r="K58" s="214">
        <f t="shared" ref="K58" si="23">J58*0.15</f>
        <v>109.61496</v>
      </c>
      <c r="L58" s="214">
        <f t="shared" ref="L58" si="24">(J58-K58)*0.05</f>
        <v>31.057572</v>
      </c>
      <c r="M58" s="198"/>
      <c r="N58" s="215">
        <f t="shared" ref="N58" si="25">J58-K58-L58</f>
        <v>590.09386799999993</v>
      </c>
      <c r="O58" s="215">
        <v>720</v>
      </c>
      <c r="P58" s="198">
        <f t="shared" ref="P58" si="26">N58-H58</f>
        <v>68.11786799999993</v>
      </c>
      <c r="Q58" s="198">
        <f t="shared" ref="Q58" si="27">P58/H58</f>
        <v>0.13049999999999987</v>
      </c>
      <c r="R58" s="198"/>
    </row>
    <row r="59" spans="1:18" ht="15.6" thickTop="1" thickBot="1">
      <c r="A59" s="265"/>
      <c r="B59" s="228"/>
      <c r="C59" s="228"/>
      <c r="D59" s="228"/>
      <c r="E59" s="228"/>
      <c r="F59" s="228"/>
      <c r="G59" s="228"/>
      <c r="H59" s="228"/>
      <c r="I59" s="229"/>
      <c r="J59" s="229"/>
      <c r="K59" s="229"/>
      <c r="L59" s="229"/>
      <c r="M59" s="198"/>
      <c r="N59" s="198"/>
      <c r="O59" s="198"/>
      <c r="P59" s="198"/>
      <c r="Q59" s="198"/>
      <c r="R59" s="198"/>
    </row>
    <row r="60" spans="1:18" ht="16.8" thickTop="1" thickBot="1">
      <c r="A60" s="232"/>
      <c r="B60" s="232"/>
      <c r="C60" s="232"/>
      <c r="D60" s="232"/>
      <c r="E60" s="232"/>
      <c r="F60" s="232"/>
      <c r="G60" s="232"/>
      <c r="H60" s="232"/>
      <c r="I60" s="232"/>
      <c r="J60" s="233"/>
      <c r="K60" s="282" t="s">
        <v>206</v>
      </c>
      <c r="L60" s="282"/>
      <c r="M60" s="198"/>
      <c r="N60" s="198"/>
      <c r="O60" s="198"/>
      <c r="P60" s="198"/>
      <c r="Q60" s="198"/>
      <c r="R60" s="198"/>
    </row>
    <row r="61" spans="1:18" ht="15.6" thickTop="1" thickBot="1">
      <c r="A61" s="258" t="s">
        <v>119</v>
      </c>
      <c r="B61" s="259" t="s">
        <v>179</v>
      </c>
      <c r="C61" s="221" t="s">
        <v>180</v>
      </c>
      <c r="D61" s="283" t="s">
        <v>207</v>
      </c>
      <c r="E61" s="258" t="s">
        <v>208</v>
      </c>
      <c r="F61" s="258" t="s">
        <v>209</v>
      </c>
      <c r="G61" s="273" t="s">
        <v>210</v>
      </c>
      <c r="H61" s="223" t="s">
        <v>124</v>
      </c>
      <c r="I61" s="262"/>
      <c r="J61" s="234" t="s">
        <v>126</v>
      </c>
      <c r="K61" s="235" t="s">
        <v>127</v>
      </c>
      <c r="L61" s="236" t="s">
        <v>18</v>
      </c>
      <c r="M61" s="281"/>
      <c r="N61" s="196" t="s">
        <v>129</v>
      </c>
      <c r="O61" s="197"/>
      <c r="P61" s="198"/>
      <c r="Q61" s="198"/>
      <c r="R61" s="198"/>
    </row>
    <row r="62" spans="1:18" ht="15.6" thickTop="1" thickBot="1">
      <c r="A62" s="258"/>
      <c r="B62" s="259"/>
      <c r="C62" s="224" t="s">
        <v>183</v>
      </c>
      <c r="D62" s="283"/>
      <c r="E62" s="258"/>
      <c r="F62" s="258"/>
      <c r="G62" s="274"/>
      <c r="H62" s="223" t="s">
        <v>132</v>
      </c>
      <c r="I62" s="262"/>
      <c r="J62" s="237" t="s">
        <v>133</v>
      </c>
      <c r="K62" s="203">
        <v>0.15</v>
      </c>
      <c r="L62" s="203">
        <v>0.05</v>
      </c>
      <c r="M62" s="281"/>
      <c r="N62" s="238" t="s">
        <v>134</v>
      </c>
      <c r="O62" s="205" t="s">
        <v>67</v>
      </c>
      <c r="P62" s="198"/>
      <c r="Q62" s="198"/>
      <c r="R62" s="198"/>
    </row>
    <row r="63" spans="1:18" ht="15.6" thickTop="1" thickBot="1">
      <c r="A63" s="265" t="s">
        <v>211</v>
      </c>
      <c r="B63" s="228" t="s">
        <v>212</v>
      </c>
      <c r="C63" s="230">
        <v>2475</v>
      </c>
      <c r="D63" s="228">
        <v>450</v>
      </c>
      <c r="E63" s="228">
        <v>340</v>
      </c>
      <c r="F63" s="228">
        <f>(C63-D63-E63)*0.05</f>
        <v>84.25</v>
      </c>
      <c r="G63" s="228">
        <f>C63-D63-E63-F63</f>
        <v>1600.75</v>
      </c>
      <c r="H63" s="231">
        <f>+G63*1.12</f>
        <v>1792.8400000000001</v>
      </c>
      <c r="I63" s="232"/>
      <c r="J63" s="239">
        <f>H63*1.4</f>
        <v>2509.9760000000001</v>
      </c>
      <c r="K63" s="214">
        <f t="shared" ref="K63:K67" si="28">J63*0.15</f>
        <v>376.49639999999999</v>
      </c>
      <c r="L63" s="214">
        <f t="shared" ref="L63:L67" si="29">(J63-K63)*0.05</f>
        <v>106.67398000000001</v>
      </c>
      <c r="M63" s="198"/>
      <c r="N63" s="215">
        <f t="shared" ref="N63:N67" si="30">J63-K63-L63</f>
        <v>2026.8056200000001</v>
      </c>
      <c r="O63" s="215">
        <v>2450</v>
      </c>
      <c r="P63" s="198">
        <f t="shared" ref="P63:P67" si="31">N63-H63</f>
        <v>233.96561999999994</v>
      </c>
      <c r="Q63" s="198">
        <f t="shared" ref="Q63:Q67" si="32">P63/H63</f>
        <v>0.13049999999999995</v>
      </c>
      <c r="R63" s="240">
        <f>O63/18</f>
        <v>136.11111111111111</v>
      </c>
    </row>
    <row r="64" spans="1:18" ht="15.6" thickTop="1" thickBot="1">
      <c r="A64" s="265"/>
      <c r="B64" s="228" t="s">
        <v>213</v>
      </c>
      <c r="C64" s="230">
        <v>3305</v>
      </c>
      <c r="D64" s="228">
        <v>570</v>
      </c>
      <c r="E64" s="228">
        <v>430</v>
      </c>
      <c r="F64" s="228">
        <f t="shared" ref="F64:F67" si="33">(C64-D64-E64)*0.05</f>
        <v>115.25</v>
      </c>
      <c r="G64" s="228">
        <f>C64-D64-E64-F64</f>
        <v>2189.75</v>
      </c>
      <c r="H64" s="231">
        <f>+G64*1.12</f>
        <v>2452.5200000000004</v>
      </c>
      <c r="I64" s="232"/>
      <c r="J64" s="214">
        <f t="shared" ref="J64:J67" si="34">H64*1.4</f>
        <v>3433.5280000000002</v>
      </c>
      <c r="K64" s="214">
        <f t="shared" si="28"/>
        <v>515.02920000000006</v>
      </c>
      <c r="L64" s="214">
        <f t="shared" si="29"/>
        <v>145.92494000000002</v>
      </c>
      <c r="M64" s="198"/>
      <c r="N64" s="215">
        <f t="shared" si="30"/>
        <v>2772.5738600000004</v>
      </c>
      <c r="O64" s="215">
        <v>3350</v>
      </c>
      <c r="P64" s="198">
        <f t="shared" si="31"/>
        <v>320.05385999999999</v>
      </c>
      <c r="Q64" s="198">
        <f t="shared" si="32"/>
        <v>0.13049999999999998</v>
      </c>
      <c r="R64" s="240">
        <f>O64/36</f>
        <v>93.055555555555557</v>
      </c>
    </row>
    <row r="65" spans="1:18" ht="15.6" thickTop="1" thickBot="1">
      <c r="A65" s="265" t="s">
        <v>214</v>
      </c>
      <c r="B65" s="228" t="s">
        <v>215</v>
      </c>
      <c r="C65" s="230">
        <v>2575</v>
      </c>
      <c r="D65" s="228">
        <v>260</v>
      </c>
      <c r="E65" s="228">
        <v>260</v>
      </c>
      <c r="F65" s="228">
        <f t="shared" si="33"/>
        <v>102.75</v>
      </c>
      <c r="G65" s="228">
        <f t="shared" ref="G65:G67" si="35">C65-D65-E65-F65</f>
        <v>1952.25</v>
      </c>
      <c r="H65" s="231">
        <f>+G65*1.12</f>
        <v>2186.52</v>
      </c>
      <c r="I65" s="232"/>
      <c r="J65" s="214">
        <f t="shared" si="34"/>
        <v>3061.1279999999997</v>
      </c>
      <c r="K65" s="214">
        <f t="shared" si="28"/>
        <v>459.16919999999993</v>
      </c>
      <c r="L65" s="214">
        <f t="shared" si="29"/>
        <v>130.09793999999999</v>
      </c>
      <c r="M65" s="198"/>
      <c r="N65" s="215">
        <f t="shared" si="30"/>
        <v>2471.8608599999998</v>
      </c>
      <c r="O65" s="215">
        <v>2990</v>
      </c>
      <c r="P65" s="198">
        <f t="shared" si="31"/>
        <v>285.34085999999979</v>
      </c>
      <c r="Q65" s="198">
        <f t="shared" si="32"/>
        <v>0.13049999999999989</v>
      </c>
      <c r="R65" s="241">
        <f>O65/6</f>
        <v>498.33333333333331</v>
      </c>
    </row>
    <row r="66" spans="1:18" ht="15.6" thickTop="1" thickBot="1">
      <c r="A66" s="265"/>
      <c r="B66" s="228" t="s">
        <v>216</v>
      </c>
      <c r="C66" s="230">
        <v>2160</v>
      </c>
      <c r="D66" s="228">
        <v>280</v>
      </c>
      <c r="E66" s="228">
        <v>280</v>
      </c>
      <c r="F66" s="228">
        <f t="shared" si="33"/>
        <v>80</v>
      </c>
      <c r="G66" s="228">
        <f t="shared" si="35"/>
        <v>1520</v>
      </c>
      <c r="H66" s="231">
        <f>+G66*1.12</f>
        <v>1702.4</v>
      </c>
      <c r="I66" s="232"/>
      <c r="J66" s="214">
        <f t="shared" si="34"/>
        <v>2383.36</v>
      </c>
      <c r="K66" s="214">
        <f t="shared" si="28"/>
        <v>357.50400000000002</v>
      </c>
      <c r="L66" s="214">
        <f t="shared" si="29"/>
        <v>101.29280000000001</v>
      </c>
      <c r="M66" s="198"/>
      <c r="N66" s="215">
        <f t="shared" si="30"/>
        <v>1924.5632000000003</v>
      </c>
      <c r="O66" s="215">
        <v>2350</v>
      </c>
      <c r="P66" s="198">
        <f t="shared" si="31"/>
        <v>222.16320000000019</v>
      </c>
      <c r="Q66" s="198">
        <f t="shared" si="32"/>
        <v>0.13050000000000012</v>
      </c>
      <c r="R66" s="241">
        <f>O66/12</f>
        <v>195.83333333333334</v>
      </c>
    </row>
    <row r="67" spans="1:18" ht="42.6" thickTop="1" thickBot="1">
      <c r="A67" s="265"/>
      <c r="B67" s="242" t="s">
        <v>217</v>
      </c>
      <c r="C67" s="230">
        <v>3985</v>
      </c>
      <c r="D67" s="228">
        <v>500</v>
      </c>
      <c r="E67" s="228">
        <v>500</v>
      </c>
      <c r="F67" s="228">
        <f t="shared" si="33"/>
        <v>149.25</v>
      </c>
      <c r="G67" s="228">
        <f t="shared" si="35"/>
        <v>2835.75</v>
      </c>
      <c r="H67" s="231">
        <f>+G67*1.12</f>
        <v>3176.0400000000004</v>
      </c>
      <c r="I67" s="232"/>
      <c r="J67" s="214">
        <f t="shared" si="34"/>
        <v>4446.4560000000001</v>
      </c>
      <c r="K67" s="214">
        <f t="shared" si="28"/>
        <v>666.96839999999997</v>
      </c>
      <c r="L67" s="214">
        <f t="shared" si="29"/>
        <v>188.97438000000002</v>
      </c>
      <c r="M67" s="198"/>
      <c r="N67" s="215">
        <f t="shared" si="30"/>
        <v>3590.5132200000003</v>
      </c>
      <c r="O67" s="215">
        <v>4350</v>
      </c>
      <c r="P67" s="198">
        <f t="shared" si="31"/>
        <v>414.47321999999986</v>
      </c>
      <c r="Q67" s="198">
        <f t="shared" si="32"/>
        <v>0.13049999999999995</v>
      </c>
      <c r="R67" s="241">
        <f>O67/16</f>
        <v>271.875</v>
      </c>
    </row>
    <row r="68" spans="1:18" ht="15" thickTop="1"/>
  </sheetData>
  <mergeCells count="33">
    <mergeCell ref="M61:M62"/>
    <mergeCell ref="A63:A64"/>
    <mergeCell ref="A65:A67"/>
    <mergeCell ref="A58:A59"/>
    <mergeCell ref="K60:L60"/>
    <mergeCell ref="A61:A62"/>
    <mergeCell ref="B61:B62"/>
    <mergeCell ref="D61:D62"/>
    <mergeCell ref="E61:E62"/>
    <mergeCell ref="F61:F62"/>
    <mergeCell ref="G61:G62"/>
    <mergeCell ref="I61:I62"/>
    <mergeCell ref="A23:A24"/>
    <mergeCell ref="A26:A28"/>
    <mergeCell ref="A33:A34"/>
    <mergeCell ref="A37:A40"/>
    <mergeCell ref="I37:I40"/>
    <mergeCell ref="A42:A43"/>
    <mergeCell ref="B42:B43"/>
    <mergeCell ref="G42:G43"/>
    <mergeCell ref="I42:I43"/>
    <mergeCell ref="M1:M2"/>
    <mergeCell ref="A7:A9"/>
    <mergeCell ref="A10:A12"/>
    <mergeCell ref="A13:A16"/>
    <mergeCell ref="A17:A18"/>
    <mergeCell ref="A21:A22"/>
    <mergeCell ref="A1:A2"/>
    <mergeCell ref="B1:B2"/>
    <mergeCell ref="C1:C2"/>
    <mergeCell ref="D1:F1"/>
    <mergeCell ref="G1:G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44CA-A1B7-4688-9B4D-B3268FE1719B}">
  <dimension ref="A1:W41"/>
  <sheetViews>
    <sheetView tabSelected="1" topLeftCell="A23" zoomScale="70" zoomScaleNormal="70" workbookViewId="0">
      <selection activeCell="U35" sqref="U35"/>
    </sheetView>
  </sheetViews>
  <sheetFormatPr defaultRowHeight="14.4"/>
  <cols>
    <col min="1" max="1" width="40.33203125" customWidth="1"/>
    <col min="2" max="2" width="14.77734375" customWidth="1"/>
    <col min="3" max="4" width="11" customWidth="1"/>
    <col min="5" max="5" width="11.21875" customWidth="1"/>
    <col min="6" max="6" width="12.109375" customWidth="1"/>
    <col min="7" max="7" width="13.109375" customWidth="1"/>
    <col min="8" max="8" width="14.88671875" customWidth="1"/>
    <col min="9" max="9" width="4.44140625" customWidth="1"/>
    <col min="10" max="10" width="12.109375" customWidth="1"/>
    <col min="11" max="11" width="14.88671875" customWidth="1"/>
    <col min="15" max="15" width="12.21875" customWidth="1"/>
    <col min="16" max="16" width="10.6640625" customWidth="1"/>
    <col min="20" max="20" width="12.33203125" customWidth="1"/>
    <col min="21" max="21" width="3.77734375" customWidth="1"/>
    <col min="22" max="22" width="12.109375" customWidth="1"/>
    <col min="23" max="23" width="9.33203125" customWidth="1"/>
  </cols>
  <sheetData>
    <row r="1" spans="1:23" ht="15.6">
      <c r="A1" s="151" t="s">
        <v>1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4"/>
      <c r="U1" s="154"/>
      <c r="V1" s="152"/>
      <c r="W1" s="152"/>
    </row>
    <row r="2" spans="1:23">
      <c r="A2" s="12" t="s">
        <v>2</v>
      </c>
      <c r="B2" s="152"/>
      <c r="C2" s="152"/>
      <c r="D2" s="153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4"/>
      <c r="U2" s="154"/>
      <c r="V2" s="152"/>
      <c r="W2" s="152"/>
    </row>
    <row r="3" spans="1:23" ht="15" thickBot="1">
      <c r="A3" s="155"/>
      <c r="B3" s="152"/>
      <c r="C3" s="152"/>
      <c r="D3" s="153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4"/>
      <c r="U3" s="154"/>
      <c r="V3" s="152"/>
      <c r="W3" s="152"/>
    </row>
    <row r="4" spans="1:23" ht="15.6" thickTop="1" thickBot="1">
      <c r="A4" s="284" t="s">
        <v>62</v>
      </c>
      <c r="B4" s="287" t="s">
        <v>63</v>
      </c>
      <c r="C4" s="289" t="s">
        <v>22</v>
      </c>
      <c r="D4" s="289"/>
      <c r="E4" s="289"/>
      <c r="F4" s="289"/>
      <c r="G4" s="289"/>
      <c r="H4" s="289"/>
      <c r="I4" s="152"/>
      <c r="J4" s="290" t="s">
        <v>23</v>
      </c>
      <c r="K4" s="135" t="s">
        <v>64</v>
      </c>
      <c r="L4" s="293" t="s">
        <v>65</v>
      </c>
      <c r="M4" s="294"/>
      <c r="N4" s="294"/>
      <c r="O4" s="294"/>
      <c r="P4" s="294"/>
      <c r="Q4" s="294"/>
      <c r="R4" s="294"/>
      <c r="S4" s="294"/>
      <c r="T4" s="303" t="s">
        <v>66</v>
      </c>
      <c r="U4" s="154"/>
      <c r="V4" s="295" t="s">
        <v>67</v>
      </c>
      <c r="W4" s="295"/>
    </row>
    <row r="5" spans="1:23" ht="15.6" thickTop="1" thickBot="1">
      <c r="A5" s="285"/>
      <c r="B5" s="288"/>
      <c r="C5" s="137" t="s">
        <v>6</v>
      </c>
      <c r="D5" s="137" t="s">
        <v>7</v>
      </c>
      <c r="E5" s="137" t="s">
        <v>44</v>
      </c>
      <c r="F5" s="137" t="s">
        <v>9</v>
      </c>
      <c r="G5" s="296" t="s">
        <v>68</v>
      </c>
      <c r="H5" s="137" t="s">
        <v>69</v>
      </c>
      <c r="I5" s="152"/>
      <c r="J5" s="291"/>
      <c r="K5" s="298" t="s">
        <v>41</v>
      </c>
      <c r="L5" s="298" t="s">
        <v>70</v>
      </c>
      <c r="M5" s="298" t="s">
        <v>71</v>
      </c>
      <c r="N5" s="137" t="s">
        <v>72</v>
      </c>
      <c r="O5" s="137" t="s">
        <v>15</v>
      </c>
      <c r="P5" s="137" t="s">
        <v>73</v>
      </c>
      <c r="Q5" s="137" t="s">
        <v>74</v>
      </c>
      <c r="R5" s="138" t="s">
        <v>75</v>
      </c>
      <c r="S5" s="138" t="s">
        <v>76</v>
      </c>
      <c r="T5" s="304"/>
      <c r="U5" s="154"/>
      <c r="V5" s="295"/>
      <c r="W5" s="295"/>
    </row>
    <row r="6" spans="1:23" ht="15" thickBot="1">
      <c r="A6" s="286"/>
      <c r="B6" s="156"/>
      <c r="C6" s="137" t="s">
        <v>22</v>
      </c>
      <c r="D6" s="137" t="s">
        <v>22</v>
      </c>
      <c r="E6" s="137" t="s">
        <v>22</v>
      </c>
      <c r="F6" s="137" t="s">
        <v>22</v>
      </c>
      <c r="G6" s="297"/>
      <c r="H6" s="137" t="s">
        <v>77</v>
      </c>
      <c r="I6" s="152"/>
      <c r="J6" s="292"/>
      <c r="K6" s="297"/>
      <c r="L6" s="297"/>
      <c r="M6" s="299"/>
      <c r="N6" s="300" t="s">
        <v>27</v>
      </c>
      <c r="O6" s="301"/>
      <c r="P6" s="302"/>
      <c r="Q6" s="300" t="s">
        <v>78</v>
      </c>
      <c r="R6" s="302"/>
      <c r="S6" s="139" t="s">
        <v>29</v>
      </c>
      <c r="T6" s="305"/>
      <c r="U6" s="154"/>
      <c r="V6" s="140" t="s">
        <v>79</v>
      </c>
      <c r="W6" s="140" t="s">
        <v>80</v>
      </c>
    </row>
    <row r="7" spans="1:23" ht="15.6" thickTop="1" thickBot="1">
      <c r="A7" s="157" t="s">
        <v>81</v>
      </c>
      <c r="B7" s="158">
        <f>2290+50</f>
        <v>2340</v>
      </c>
      <c r="C7" s="159">
        <v>200</v>
      </c>
      <c r="D7" s="159">
        <v>30</v>
      </c>
      <c r="E7" s="159">
        <v>10</v>
      </c>
      <c r="F7" s="159">
        <v>15</v>
      </c>
      <c r="G7" s="159">
        <f t="shared" ref="G7:G23" si="0">B7-C7-D7-E7-F7</f>
        <v>2085</v>
      </c>
      <c r="H7" s="160">
        <f t="shared" ref="H7:H23" si="1">G7*0.05</f>
        <v>104.25</v>
      </c>
      <c r="I7" s="152"/>
      <c r="J7" s="161">
        <f t="shared" ref="J7:J23" si="2">G7-H7</f>
        <v>1980.75</v>
      </c>
      <c r="K7" s="159">
        <v>80</v>
      </c>
      <c r="L7" s="159">
        <v>70</v>
      </c>
      <c r="M7" s="159">
        <f>20</f>
        <v>20</v>
      </c>
      <c r="N7" s="162">
        <v>10</v>
      </c>
      <c r="O7" s="162">
        <v>20</v>
      </c>
      <c r="P7" s="162">
        <v>10</v>
      </c>
      <c r="Q7" s="162">
        <v>90</v>
      </c>
      <c r="R7" s="162">
        <v>10</v>
      </c>
      <c r="S7" s="163">
        <v>5</v>
      </c>
      <c r="T7" s="164">
        <f t="shared" ref="T7:T23" si="3">SUM(J7:S7)</f>
        <v>2295.75</v>
      </c>
      <c r="U7" s="154"/>
      <c r="V7" s="165">
        <v>2300</v>
      </c>
      <c r="W7" s="165">
        <v>48</v>
      </c>
    </row>
    <row r="8" spans="1:23" ht="15.6" thickTop="1" thickBot="1">
      <c r="A8" s="166" t="s">
        <v>82</v>
      </c>
      <c r="B8" s="158">
        <f>2040+50</f>
        <v>2090</v>
      </c>
      <c r="C8" s="159">
        <v>200</v>
      </c>
      <c r="D8" s="159">
        <v>30</v>
      </c>
      <c r="E8" s="159">
        <v>10</v>
      </c>
      <c r="F8" s="159">
        <v>15</v>
      </c>
      <c r="G8" s="159">
        <f t="shared" si="0"/>
        <v>1835</v>
      </c>
      <c r="H8" s="160">
        <f t="shared" si="1"/>
        <v>91.75</v>
      </c>
      <c r="I8" s="152"/>
      <c r="J8" s="161">
        <f t="shared" si="2"/>
        <v>1743.25</v>
      </c>
      <c r="K8" s="159">
        <v>80</v>
      </c>
      <c r="L8" s="159">
        <v>70</v>
      </c>
      <c r="M8" s="159">
        <f>20</f>
        <v>20</v>
      </c>
      <c r="N8" s="159">
        <v>10</v>
      </c>
      <c r="O8" s="159">
        <v>20</v>
      </c>
      <c r="P8" s="159">
        <v>10</v>
      </c>
      <c r="Q8" s="162">
        <v>90</v>
      </c>
      <c r="R8" s="162">
        <v>10</v>
      </c>
      <c r="S8" s="163">
        <v>5</v>
      </c>
      <c r="T8" s="167">
        <f t="shared" si="3"/>
        <v>2058.25</v>
      </c>
      <c r="U8" s="154"/>
      <c r="V8" s="161">
        <v>2060</v>
      </c>
      <c r="W8" s="161">
        <v>43</v>
      </c>
    </row>
    <row r="9" spans="1:23" ht="15.6" thickTop="1" thickBot="1">
      <c r="A9" s="168" t="s">
        <v>83</v>
      </c>
      <c r="B9" s="158">
        <f>2020+50</f>
        <v>2070</v>
      </c>
      <c r="C9" s="159">
        <v>200</v>
      </c>
      <c r="D9" s="159">
        <v>30</v>
      </c>
      <c r="E9" s="159">
        <v>10</v>
      </c>
      <c r="F9" s="159">
        <v>15</v>
      </c>
      <c r="G9" s="159">
        <f t="shared" si="0"/>
        <v>1815</v>
      </c>
      <c r="H9" s="160">
        <f t="shared" si="1"/>
        <v>90.75</v>
      </c>
      <c r="I9" s="152"/>
      <c r="J9" s="161">
        <f t="shared" si="2"/>
        <v>1724.25</v>
      </c>
      <c r="K9" s="159">
        <v>80</v>
      </c>
      <c r="L9" s="159">
        <v>70</v>
      </c>
      <c r="M9" s="159">
        <f>20</f>
        <v>20</v>
      </c>
      <c r="N9" s="159">
        <v>10</v>
      </c>
      <c r="O9" s="159">
        <v>20</v>
      </c>
      <c r="P9" s="159">
        <v>10</v>
      </c>
      <c r="Q9" s="162">
        <v>90</v>
      </c>
      <c r="R9" s="162">
        <v>10</v>
      </c>
      <c r="S9" s="163">
        <v>5</v>
      </c>
      <c r="T9" s="167">
        <f t="shared" si="3"/>
        <v>2039.25</v>
      </c>
      <c r="U9" s="154"/>
      <c r="V9" s="161">
        <v>2040</v>
      </c>
      <c r="W9" s="161">
        <v>43</v>
      </c>
    </row>
    <row r="10" spans="1:23" ht="30" thickTop="1" thickBot="1">
      <c r="A10" s="168" t="s">
        <v>84</v>
      </c>
      <c r="B10" s="158">
        <f>1750+50</f>
        <v>1800</v>
      </c>
      <c r="C10" s="159">
        <v>200</v>
      </c>
      <c r="D10" s="159">
        <v>30</v>
      </c>
      <c r="E10" s="159">
        <v>10</v>
      </c>
      <c r="F10" s="159">
        <v>15</v>
      </c>
      <c r="G10" s="159">
        <f t="shared" si="0"/>
        <v>1545</v>
      </c>
      <c r="H10" s="160">
        <f t="shared" si="1"/>
        <v>77.25</v>
      </c>
      <c r="I10" s="152"/>
      <c r="J10" s="161">
        <f t="shared" si="2"/>
        <v>1467.75</v>
      </c>
      <c r="K10" s="159">
        <v>80</v>
      </c>
      <c r="L10" s="159">
        <v>70</v>
      </c>
      <c r="M10" s="159">
        <f>20</f>
        <v>20</v>
      </c>
      <c r="N10" s="159">
        <v>10</v>
      </c>
      <c r="O10" s="159">
        <v>20</v>
      </c>
      <c r="P10" s="159">
        <v>10</v>
      </c>
      <c r="Q10" s="162">
        <v>90</v>
      </c>
      <c r="R10" s="162">
        <v>10</v>
      </c>
      <c r="S10" s="163">
        <v>5</v>
      </c>
      <c r="T10" s="167">
        <f t="shared" si="3"/>
        <v>1782.75</v>
      </c>
      <c r="U10" s="154"/>
      <c r="V10" s="161">
        <v>1785</v>
      </c>
      <c r="W10" s="161">
        <v>38</v>
      </c>
    </row>
    <row r="11" spans="1:23" ht="30" thickTop="1" thickBot="1">
      <c r="A11" s="168" t="s">
        <v>85</v>
      </c>
      <c r="B11" s="158">
        <f>2190+50</f>
        <v>2240</v>
      </c>
      <c r="C11" s="159">
        <v>200</v>
      </c>
      <c r="D11" s="159">
        <v>30</v>
      </c>
      <c r="E11" s="159">
        <v>10</v>
      </c>
      <c r="F11" s="159">
        <v>15</v>
      </c>
      <c r="G11" s="159">
        <f t="shared" si="0"/>
        <v>1985</v>
      </c>
      <c r="H11" s="160">
        <f t="shared" si="1"/>
        <v>99.25</v>
      </c>
      <c r="I11" s="152"/>
      <c r="J11" s="161">
        <f t="shared" si="2"/>
        <v>1885.75</v>
      </c>
      <c r="K11" s="159">
        <v>80</v>
      </c>
      <c r="L11" s="159">
        <v>70</v>
      </c>
      <c r="M11" s="159">
        <f>20</f>
        <v>20</v>
      </c>
      <c r="N11" s="159">
        <v>10</v>
      </c>
      <c r="O11" s="159">
        <v>20</v>
      </c>
      <c r="P11" s="159">
        <v>10</v>
      </c>
      <c r="Q11" s="162">
        <v>90</v>
      </c>
      <c r="R11" s="162">
        <v>10</v>
      </c>
      <c r="S11" s="163">
        <v>5</v>
      </c>
      <c r="T11" s="167">
        <f t="shared" si="3"/>
        <v>2200.75</v>
      </c>
      <c r="U11" s="154"/>
      <c r="V11" s="161">
        <v>2200</v>
      </c>
      <c r="W11" s="161">
        <v>46</v>
      </c>
    </row>
    <row r="12" spans="1:23" ht="15.6" thickTop="1" thickBot="1">
      <c r="A12" s="166" t="s">
        <v>86</v>
      </c>
      <c r="B12" s="158">
        <f>2110+50</f>
        <v>2160</v>
      </c>
      <c r="C12" s="159">
        <v>200</v>
      </c>
      <c r="D12" s="159">
        <v>30</v>
      </c>
      <c r="E12" s="159">
        <v>10</v>
      </c>
      <c r="F12" s="159">
        <v>15</v>
      </c>
      <c r="G12" s="159">
        <f t="shared" si="0"/>
        <v>1905</v>
      </c>
      <c r="H12" s="160">
        <f t="shared" si="1"/>
        <v>95.25</v>
      </c>
      <c r="I12" s="152"/>
      <c r="J12" s="161">
        <f t="shared" si="2"/>
        <v>1809.75</v>
      </c>
      <c r="K12" s="159">
        <v>80</v>
      </c>
      <c r="L12" s="159">
        <v>70</v>
      </c>
      <c r="M12" s="159">
        <f>20</f>
        <v>20</v>
      </c>
      <c r="N12" s="159">
        <v>10</v>
      </c>
      <c r="O12" s="159">
        <v>20</v>
      </c>
      <c r="P12" s="159">
        <v>10</v>
      </c>
      <c r="Q12" s="162">
        <v>90</v>
      </c>
      <c r="R12" s="162">
        <v>10</v>
      </c>
      <c r="S12" s="163">
        <v>5</v>
      </c>
      <c r="T12" s="167">
        <f t="shared" si="3"/>
        <v>2124.75</v>
      </c>
      <c r="U12" s="154"/>
      <c r="V12" s="161">
        <v>2125</v>
      </c>
      <c r="W12" s="161">
        <v>44.5</v>
      </c>
    </row>
    <row r="13" spans="1:23" ht="30" thickTop="1" thickBot="1">
      <c r="A13" s="168" t="s">
        <v>87</v>
      </c>
      <c r="B13" s="158">
        <f>1960+50</f>
        <v>2010</v>
      </c>
      <c r="C13" s="159">
        <v>200</v>
      </c>
      <c r="D13" s="159">
        <v>30</v>
      </c>
      <c r="E13" s="159">
        <v>10</v>
      </c>
      <c r="F13" s="159">
        <v>15</v>
      </c>
      <c r="G13" s="159">
        <f t="shared" si="0"/>
        <v>1755</v>
      </c>
      <c r="H13" s="160">
        <f t="shared" si="1"/>
        <v>87.75</v>
      </c>
      <c r="I13" s="152"/>
      <c r="J13" s="161">
        <f t="shared" si="2"/>
        <v>1667.25</v>
      </c>
      <c r="K13" s="159">
        <v>80</v>
      </c>
      <c r="L13" s="159">
        <v>70</v>
      </c>
      <c r="M13" s="159">
        <f>20</f>
        <v>20</v>
      </c>
      <c r="N13" s="159">
        <v>10</v>
      </c>
      <c r="O13" s="159">
        <v>20</v>
      </c>
      <c r="P13" s="159">
        <v>10</v>
      </c>
      <c r="Q13" s="162">
        <v>90</v>
      </c>
      <c r="R13" s="162">
        <v>10</v>
      </c>
      <c r="S13" s="163">
        <v>5</v>
      </c>
      <c r="T13" s="167">
        <f t="shared" si="3"/>
        <v>1982.25</v>
      </c>
      <c r="U13" s="154"/>
      <c r="V13" s="161">
        <v>1985</v>
      </c>
      <c r="W13" s="161">
        <v>42</v>
      </c>
    </row>
    <row r="14" spans="1:23" ht="30" thickTop="1" thickBot="1">
      <c r="A14" s="168" t="s">
        <v>88</v>
      </c>
      <c r="B14" s="158">
        <f>1000+25</f>
        <v>1025</v>
      </c>
      <c r="C14" s="159">
        <v>100</v>
      </c>
      <c r="D14" s="159">
        <v>15</v>
      </c>
      <c r="E14" s="159">
        <v>5</v>
      </c>
      <c r="F14" s="159">
        <v>7.5</v>
      </c>
      <c r="G14" s="159">
        <f t="shared" si="0"/>
        <v>897.5</v>
      </c>
      <c r="H14" s="160">
        <f t="shared" si="1"/>
        <v>44.875</v>
      </c>
      <c r="I14" s="152"/>
      <c r="J14" s="161">
        <f t="shared" si="2"/>
        <v>852.625</v>
      </c>
      <c r="K14" s="159">
        <f t="shared" ref="K14:K23" si="4">J14*0.05</f>
        <v>42.631250000000001</v>
      </c>
      <c r="L14" s="159">
        <v>35</v>
      </c>
      <c r="M14" s="159">
        <f>10</f>
        <v>10</v>
      </c>
      <c r="N14" s="159">
        <v>5</v>
      </c>
      <c r="O14" s="159">
        <v>10</v>
      </c>
      <c r="P14" s="159">
        <v>5</v>
      </c>
      <c r="Q14" s="159">
        <v>50</v>
      </c>
      <c r="R14" s="162">
        <v>10</v>
      </c>
      <c r="S14" s="163">
        <v>5</v>
      </c>
      <c r="T14" s="167">
        <f t="shared" si="3"/>
        <v>1025.2562499999999</v>
      </c>
      <c r="U14" s="154"/>
      <c r="V14" s="161">
        <v>1025</v>
      </c>
      <c r="W14" s="161">
        <v>44</v>
      </c>
    </row>
    <row r="15" spans="1:23" ht="15.6" thickTop="1" thickBot="1">
      <c r="A15" s="169" t="s">
        <v>89</v>
      </c>
      <c r="B15" s="158">
        <f>1217+25</f>
        <v>1242</v>
      </c>
      <c r="C15" s="159">
        <v>100</v>
      </c>
      <c r="D15" s="159">
        <v>15</v>
      </c>
      <c r="E15" s="159">
        <v>5</v>
      </c>
      <c r="F15" s="159">
        <v>7.5</v>
      </c>
      <c r="G15" s="159">
        <f t="shared" si="0"/>
        <v>1114.5</v>
      </c>
      <c r="H15" s="160">
        <f t="shared" si="1"/>
        <v>55.725000000000001</v>
      </c>
      <c r="I15" s="152"/>
      <c r="J15" s="161">
        <f t="shared" si="2"/>
        <v>1058.7750000000001</v>
      </c>
      <c r="K15" s="159">
        <f t="shared" si="4"/>
        <v>52.938750000000006</v>
      </c>
      <c r="L15" s="159">
        <v>35</v>
      </c>
      <c r="M15" s="159">
        <f>10</f>
        <v>10</v>
      </c>
      <c r="N15" s="170">
        <v>5</v>
      </c>
      <c r="O15" s="159">
        <v>10</v>
      </c>
      <c r="P15" s="170">
        <v>5</v>
      </c>
      <c r="Q15" s="159">
        <v>50</v>
      </c>
      <c r="R15" s="162">
        <v>10</v>
      </c>
      <c r="S15" s="163">
        <v>5</v>
      </c>
      <c r="T15" s="167">
        <f t="shared" si="3"/>
        <v>1241.7137500000001</v>
      </c>
      <c r="U15" s="154"/>
      <c r="V15" s="161">
        <v>1245</v>
      </c>
      <c r="W15" s="161">
        <v>51</v>
      </c>
    </row>
    <row r="16" spans="1:23" ht="15.6" thickTop="1" thickBot="1">
      <c r="A16" s="171" t="s">
        <v>90</v>
      </c>
      <c r="B16" s="158">
        <f>1110+25</f>
        <v>1135</v>
      </c>
      <c r="C16" s="159">
        <v>100</v>
      </c>
      <c r="D16" s="159">
        <v>15</v>
      </c>
      <c r="E16" s="159">
        <v>5</v>
      </c>
      <c r="F16" s="159">
        <v>7.5</v>
      </c>
      <c r="G16" s="159">
        <f t="shared" si="0"/>
        <v>1007.5</v>
      </c>
      <c r="H16" s="160">
        <f t="shared" si="1"/>
        <v>50.375</v>
      </c>
      <c r="I16" s="152"/>
      <c r="J16" s="161">
        <f t="shared" si="2"/>
        <v>957.125</v>
      </c>
      <c r="K16" s="159">
        <f t="shared" si="4"/>
        <v>47.856250000000003</v>
      </c>
      <c r="L16" s="159">
        <v>35</v>
      </c>
      <c r="M16" s="159">
        <f>10</f>
        <v>10</v>
      </c>
      <c r="N16" s="170">
        <v>5</v>
      </c>
      <c r="O16" s="159">
        <v>10</v>
      </c>
      <c r="P16" s="170">
        <v>5</v>
      </c>
      <c r="Q16" s="159">
        <v>50</v>
      </c>
      <c r="R16" s="162">
        <v>10</v>
      </c>
      <c r="S16" s="163">
        <v>5</v>
      </c>
      <c r="T16" s="167">
        <f t="shared" si="3"/>
        <v>1134.98125</v>
      </c>
      <c r="U16" s="154"/>
      <c r="V16" s="161">
        <v>1135</v>
      </c>
      <c r="W16" s="161">
        <v>47</v>
      </c>
    </row>
    <row r="17" spans="1:23" ht="15.6" thickTop="1" thickBot="1">
      <c r="A17" s="171" t="s">
        <v>91</v>
      </c>
      <c r="B17" s="158">
        <f>1080+25</f>
        <v>1105</v>
      </c>
      <c r="C17" s="159">
        <v>100</v>
      </c>
      <c r="D17" s="159">
        <v>15</v>
      </c>
      <c r="E17" s="159">
        <v>5</v>
      </c>
      <c r="F17" s="159">
        <v>7.5</v>
      </c>
      <c r="G17" s="159">
        <f t="shared" si="0"/>
        <v>977.5</v>
      </c>
      <c r="H17" s="160">
        <f t="shared" si="1"/>
        <v>48.875</v>
      </c>
      <c r="I17" s="152"/>
      <c r="J17" s="161">
        <f t="shared" si="2"/>
        <v>928.625</v>
      </c>
      <c r="K17" s="159">
        <f t="shared" si="4"/>
        <v>46.431250000000006</v>
      </c>
      <c r="L17" s="159">
        <v>35</v>
      </c>
      <c r="M17" s="159">
        <f>10</f>
        <v>10</v>
      </c>
      <c r="N17" s="170">
        <v>5</v>
      </c>
      <c r="O17" s="159">
        <v>10</v>
      </c>
      <c r="P17" s="170">
        <v>5</v>
      </c>
      <c r="Q17" s="159">
        <v>50</v>
      </c>
      <c r="R17" s="162">
        <v>10</v>
      </c>
      <c r="S17" s="163">
        <v>5</v>
      </c>
      <c r="T17" s="167">
        <f t="shared" si="3"/>
        <v>1105.0562500000001</v>
      </c>
      <c r="U17" s="154"/>
      <c r="V17" s="161">
        <v>1105</v>
      </c>
      <c r="W17" s="161">
        <v>46</v>
      </c>
    </row>
    <row r="18" spans="1:23" ht="15.6" thickTop="1" thickBot="1">
      <c r="A18" s="171" t="s">
        <v>92</v>
      </c>
      <c r="B18" s="158">
        <f>1135+25</f>
        <v>1160</v>
      </c>
      <c r="C18" s="159">
        <v>100</v>
      </c>
      <c r="D18" s="159">
        <v>15</v>
      </c>
      <c r="E18" s="159">
        <v>5</v>
      </c>
      <c r="F18" s="159">
        <v>7.5</v>
      </c>
      <c r="G18" s="159">
        <f t="shared" si="0"/>
        <v>1032.5</v>
      </c>
      <c r="H18" s="160">
        <f t="shared" si="1"/>
        <v>51.625</v>
      </c>
      <c r="I18" s="152"/>
      <c r="J18" s="161">
        <f t="shared" si="2"/>
        <v>980.875</v>
      </c>
      <c r="K18" s="159">
        <f t="shared" si="4"/>
        <v>49.043750000000003</v>
      </c>
      <c r="L18" s="159">
        <v>35</v>
      </c>
      <c r="M18" s="159">
        <f>10</f>
        <v>10</v>
      </c>
      <c r="N18" s="170">
        <v>5</v>
      </c>
      <c r="O18" s="159">
        <v>10</v>
      </c>
      <c r="P18" s="170">
        <v>5</v>
      </c>
      <c r="Q18" s="159">
        <v>50</v>
      </c>
      <c r="R18" s="162">
        <v>10</v>
      </c>
      <c r="S18" s="163">
        <v>5</v>
      </c>
      <c r="T18" s="167">
        <f t="shared" si="3"/>
        <v>1159.91875</v>
      </c>
      <c r="U18" s="154"/>
      <c r="V18" s="161">
        <v>1160</v>
      </c>
      <c r="W18" s="161">
        <v>48</v>
      </c>
    </row>
    <row r="19" spans="1:23" ht="15.6" thickTop="1" thickBot="1">
      <c r="A19" s="169" t="s">
        <v>93</v>
      </c>
      <c r="B19" s="158">
        <f>1050+25</f>
        <v>1075</v>
      </c>
      <c r="C19" s="159">
        <v>100</v>
      </c>
      <c r="D19" s="159">
        <v>15</v>
      </c>
      <c r="E19" s="159">
        <v>5</v>
      </c>
      <c r="F19" s="159">
        <v>7.5</v>
      </c>
      <c r="G19" s="159">
        <f t="shared" si="0"/>
        <v>947.5</v>
      </c>
      <c r="H19" s="160">
        <f t="shared" si="1"/>
        <v>47.375</v>
      </c>
      <c r="I19" s="152"/>
      <c r="J19" s="161">
        <f t="shared" si="2"/>
        <v>900.125</v>
      </c>
      <c r="K19" s="159">
        <f t="shared" si="4"/>
        <v>45.006250000000001</v>
      </c>
      <c r="L19" s="159">
        <v>35</v>
      </c>
      <c r="M19" s="159">
        <f>10</f>
        <v>10</v>
      </c>
      <c r="N19" s="170">
        <v>5</v>
      </c>
      <c r="O19" s="159">
        <v>10</v>
      </c>
      <c r="P19" s="170">
        <v>5</v>
      </c>
      <c r="Q19" s="159">
        <v>50</v>
      </c>
      <c r="R19" s="162">
        <v>10</v>
      </c>
      <c r="S19" s="163">
        <v>5</v>
      </c>
      <c r="T19" s="167">
        <f t="shared" si="3"/>
        <v>1075.1312499999999</v>
      </c>
      <c r="U19" s="154"/>
      <c r="V19" s="161">
        <v>1075</v>
      </c>
      <c r="W19" s="161">
        <v>44</v>
      </c>
    </row>
    <row r="20" spans="1:23" ht="15.6" thickTop="1" thickBot="1">
      <c r="A20" s="172" t="s">
        <v>94</v>
      </c>
      <c r="B20" s="158">
        <f>1355+25</f>
        <v>1380</v>
      </c>
      <c r="C20" s="159">
        <v>100</v>
      </c>
      <c r="D20" s="159">
        <v>15</v>
      </c>
      <c r="E20" s="159">
        <v>5</v>
      </c>
      <c r="F20" s="159">
        <v>7.5</v>
      </c>
      <c r="G20" s="159">
        <f t="shared" si="0"/>
        <v>1252.5</v>
      </c>
      <c r="H20" s="160">
        <f t="shared" si="1"/>
        <v>62.625</v>
      </c>
      <c r="I20" s="152"/>
      <c r="J20" s="161">
        <f t="shared" si="2"/>
        <v>1189.875</v>
      </c>
      <c r="K20" s="159">
        <f t="shared" si="4"/>
        <v>59.493750000000006</v>
      </c>
      <c r="L20" s="159">
        <v>35</v>
      </c>
      <c r="M20" s="159">
        <f>10</f>
        <v>10</v>
      </c>
      <c r="N20" s="170">
        <v>5</v>
      </c>
      <c r="O20" s="159">
        <v>10</v>
      </c>
      <c r="P20" s="170">
        <v>5</v>
      </c>
      <c r="Q20" s="159">
        <v>50</v>
      </c>
      <c r="R20" s="162">
        <v>10</v>
      </c>
      <c r="S20" s="163">
        <v>5</v>
      </c>
      <c r="T20" s="167">
        <f t="shared" si="3"/>
        <v>1379.3687500000001</v>
      </c>
      <c r="U20" s="154"/>
      <c r="V20" s="161">
        <v>1380</v>
      </c>
      <c r="W20" s="161">
        <v>57</v>
      </c>
    </row>
    <row r="21" spans="1:23" ht="15.6" thickTop="1" thickBot="1">
      <c r="A21" s="166" t="s">
        <v>95</v>
      </c>
      <c r="B21" s="158">
        <f>1380+25</f>
        <v>1405</v>
      </c>
      <c r="C21" s="159">
        <v>100</v>
      </c>
      <c r="D21" s="159">
        <v>15</v>
      </c>
      <c r="E21" s="159">
        <v>5</v>
      </c>
      <c r="F21" s="159">
        <v>7.5</v>
      </c>
      <c r="G21" s="159">
        <f t="shared" si="0"/>
        <v>1277.5</v>
      </c>
      <c r="H21" s="160">
        <f t="shared" si="1"/>
        <v>63.875</v>
      </c>
      <c r="I21" s="152"/>
      <c r="J21" s="161">
        <f t="shared" si="2"/>
        <v>1213.625</v>
      </c>
      <c r="K21" s="159">
        <f t="shared" si="4"/>
        <v>60.681250000000006</v>
      </c>
      <c r="L21" s="159">
        <v>35</v>
      </c>
      <c r="M21" s="159">
        <f>10</f>
        <v>10</v>
      </c>
      <c r="N21" s="170">
        <v>5</v>
      </c>
      <c r="O21" s="159">
        <v>10</v>
      </c>
      <c r="P21" s="170">
        <v>5</v>
      </c>
      <c r="Q21" s="159">
        <v>50</v>
      </c>
      <c r="R21" s="162">
        <v>10</v>
      </c>
      <c r="S21" s="163">
        <v>5</v>
      </c>
      <c r="T21" s="167">
        <f t="shared" si="3"/>
        <v>1404.3062500000001</v>
      </c>
      <c r="U21" s="154"/>
      <c r="V21" s="161">
        <v>1405</v>
      </c>
      <c r="W21" s="161">
        <v>58</v>
      </c>
    </row>
    <row r="22" spans="1:23" ht="15.6" thickTop="1" thickBot="1">
      <c r="A22" s="172" t="s">
        <v>96</v>
      </c>
      <c r="B22" s="158">
        <f>1055+25</f>
        <v>1080</v>
      </c>
      <c r="C22" s="159">
        <v>100</v>
      </c>
      <c r="D22" s="159">
        <v>15</v>
      </c>
      <c r="E22" s="159">
        <v>5</v>
      </c>
      <c r="F22" s="159">
        <v>7.5</v>
      </c>
      <c r="G22" s="159">
        <f t="shared" si="0"/>
        <v>952.5</v>
      </c>
      <c r="H22" s="160">
        <f t="shared" si="1"/>
        <v>47.625</v>
      </c>
      <c r="I22" s="152"/>
      <c r="J22" s="161">
        <f t="shared" si="2"/>
        <v>904.875</v>
      </c>
      <c r="K22" s="159">
        <f t="shared" si="4"/>
        <v>45.243750000000006</v>
      </c>
      <c r="L22" s="159">
        <v>35</v>
      </c>
      <c r="M22" s="159">
        <f>10</f>
        <v>10</v>
      </c>
      <c r="N22" s="170">
        <v>5</v>
      </c>
      <c r="O22" s="159">
        <v>10</v>
      </c>
      <c r="P22" s="170">
        <v>5</v>
      </c>
      <c r="Q22" s="159">
        <v>50</v>
      </c>
      <c r="R22" s="162">
        <v>10</v>
      </c>
      <c r="S22" s="163">
        <v>5</v>
      </c>
      <c r="T22" s="167">
        <f t="shared" si="3"/>
        <v>1080.1187500000001</v>
      </c>
      <c r="U22" s="154"/>
      <c r="V22" s="161">
        <v>1080</v>
      </c>
      <c r="W22" s="161">
        <v>44</v>
      </c>
    </row>
    <row r="23" spans="1:23" ht="15.6" thickTop="1" thickBot="1">
      <c r="A23" s="169" t="s">
        <v>97</v>
      </c>
      <c r="B23" s="173">
        <f>1095+25</f>
        <v>1120</v>
      </c>
      <c r="C23" s="159">
        <v>100</v>
      </c>
      <c r="D23" s="159">
        <v>15</v>
      </c>
      <c r="E23" s="159">
        <v>5</v>
      </c>
      <c r="F23" s="159">
        <v>7.5</v>
      </c>
      <c r="G23" s="159">
        <f t="shared" si="0"/>
        <v>992.5</v>
      </c>
      <c r="H23" s="160">
        <f t="shared" si="1"/>
        <v>49.625</v>
      </c>
      <c r="I23" s="152"/>
      <c r="J23" s="161">
        <f t="shared" si="2"/>
        <v>942.875</v>
      </c>
      <c r="K23" s="159">
        <f t="shared" si="4"/>
        <v>47.143750000000004</v>
      </c>
      <c r="L23" s="159">
        <v>35</v>
      </c>
      <c r="M23" s="159">
        <f>10</f>
        <v>10</v>
      </c>
      <c r="N23" s="170">
        <v>5</v>
      </c>
      <c r="O23" s="159">
        <v>10</v>
      </c>
      <c r="P23" s="170">
        <v>5</v>
      </c>
      <c r="Q23" s="159">
        <v>50</v>
      </c>
      <c r="R23" s="162">
        <v>10</v>
      </c>
      <c r="S23" s="163">
        <v>5</v>
      </c>
      <c r="T23" s="167">
        <f t="shared" si="3"/>
        <v>1120.01875</v>
      </c>
      <c r="U23" s="154"/>
      <c r="V23" s="161">
        <v>1120</v>
      </c>
      <c r="W23" s="161">
        <v>46</v>
      </c>
    </row>
    <row r="24" spans="1:23" ht="15" thickTop="1"/>
    <row r="33" spans="10:20" ht="79.2">
      <c r="J33" s="320" t="s">
        <v>218</v>
      </c>
      <c r="K33" s="321" t="s">
        <v>219</v>
      </c>
      <c r="L33" s="321" t="s">
        <v>220</v>
      </c>
      <c r="M33" s="326">
        <v>150</v>
      </c>
      <c r="N33" s="327"/>
      <c r="O33" s="327"/>
      <c r="P33" s="327"/>
      <c r="Q33" s="327"/>
      <c r="R33" s="328">
        <v>258750</v>
      </c>
      <c r="S33" s="327"/>
      <c r="T33" s="329">
        <f>SUM(R33:R41)</f>
        <v>552615</v>
      </c>
    </row>
    <row r="34" spans="10:20" ht="52.8">
      <c r="J34" s="320" t="s">
        <v>221</v>
      </c>
      <c r="K34" s="321" t="s">
        <v>222</v>
      </c>
      <c r="L34" s="321" t="s">
        <v>220</v>
      </c>
      <c r="M34" s="326">
        <v>50</v>
      </c>
      <c r="N34" s="327"/>
      <c r="O34" s="327"/>
      <c r="P34" s="327"/>
      <c r="Q34" s="327"/>
      <c r="R34" s="327">
        <v>73400</v>
      </c>
      <c r="S34" s="327"/>
      <c r="T34" s="329"/>
    </row>
    <row r="35" spans="10:20" ht="79.2">
      <c r="J35" s="320" t="s">
        <v>223</v>
      </c>
      <c r="K35" s="321" t="s">
        <v>224</v>
      </c>
      <c r="L35" s="321" t="s">
        <v>225</v>
      </c>
      <c r="M35" s="326">
        <v>50</v>
      </c>
      <c r="N35" s="327"/>
      <c r="O35" s="327"/>
      <c r="P35" s="327"/>
      <c r="Q35" s="327"/>
      <c r="R35" s="328">
        <v>42650</v>
      </c>
      <c r="S35" s="327"/>
      <c r="T35" s="329"/>
    </row>
    <row r="36" spans="10:20" ht="79.8" thickBot="1">
      <c r="J36" s="322" t="s">
        <v>218</v>
      </c>
      <c r="K36" s="323" t="s">
        <v>226</v>
      </c>
      <c r="L36" s="323" t="s">
        <v>227</v>
      </c>
      <c r="M36" s="326">
        <v>80</v>
      </c>
      <c r="N36" s="327"/>
      <c r="O36" s="327"/>
      <c r="P36" s="327"/>
      <c r="Q36" s="327"/>
      <c r="R36" s="327">
        <v>74320</v>
      </c>
      <c r="S36" s="327"/>
      <c r="T36" s="329"/>
    </row>
    <row r="37" spans="10:20" ht="39.6">
      <c r="J37" s="322" t="s">
        <v>228</v>
      </c>
      <c r="K37" s="324" t="s">
        <v>229</v>
      </c>
      <c r="L37" s="318" t="s">
        <v>189</v>
      </c>
      <c r="M37" s="330">
        <v>10</v>
      </c>
      <c r="N37" s="327"/>
      <c r="O37" s="327"/>
      <c r="P37" s="327"/>
      <c r="Q37" s="327"/>
      <c r="R37" s="328">
        <v>16160</v>
      </c>
      <c r="S37" s="327"/>
      <c r="T37" s="329"/>
    </row>
    <row r="38" spans="10:20" ht="39.6">
      <c r="J38" s="325" t="s">
        <v>230</v>
      </c>
      <c r="K38" s="321" t="s">
        <v>231</v>
      </c>
      <c r="L38" s="319" t="s">
        <v>189</v>
      </c>
      <c r="M38" s="326">
        <v>20</v>
      </c>
      <c r="N38" s="327"/>
      <c r="O38" s="327"/>
      <c r="P38" s="327"/>
      <c r="Q38" s="327"/>
      <c r="R38" s="327">
        <v>26780</v>
      </c>
      <c r="S38" s="327"/>
      <c r="T38" s="329"/>
    </row>
    <row r="39" spans="10:20">
      <c r="J39" s="325" t="s">
        <v>232</v>
      </c>
      <c r="K39" s="321" t="s">
        <v>233</v>
      </c>
      <c r="L39" s="319" t="s">
        <v>189</v>
      </c>
      <c r="M39" s="331">
        <v>15</v>
      </c>
      <c r="N39" s="327"/>
      <c r="O39" s="327"/>
      <c r="P39" s="327"/>
      <c r="Q39" s="327"/>
      <c r="R39" s="328">
        <v>29895</v>
      </c>
      <c r="S39" s="327"/>
      <c r="T39" s="329"/>
    </row>
    <row r="40" spans="10:20" ht="26.4">
      <c r="J40" s="334" t="s">
        <v>234</v>
      </c>
      <c r="K40" s="243"/>
      <c r="L40" s="332" t="s">
        <v>236</v>
      </c>
      <c r="M40" s="333">
        <v>30</v>
      </c>
      <c r="N40" s="243"/>
      <c r="O40" s="243"/>
      <c r="P40" s="243"/>
      <c r="Q40" s="243"/>
      <c r="R40" s="335">
        <v>15330</v>
      </c>
      <c r="S40" s="243"/>
      <c r="T40" s="329"/>
    </row>
    <row r="41" spans="10:20" ht="28.8">
      <c r="J41" s="334" t="s">
        <v>235</v>
      </c>
      <c r="K41" s="243"/>
      <c r="L41" s="327" t="s">
        <v>236</v>
      </c>
      <c r="M41" s="333">
        <v>30</v>
      </c>
      <c r="N41" s="243"/>
      <c r="O41" s="243"/>
      <c r="P41" s="243"/>
      <c r="Q41" s="243"/>
      <c r="R41" s="335">
        <v>15330</v>
      </c>
      <c r="S41" s="243"/>
      <c r="T41" s="329"/>
    </row>
  </sheetData>
  <mergeCells count="14">
    <mergeCell ref="T33:T41"/>
    <mergeCell ref="V4:W5"/>
    <mergeCell ref="G5:G6"/>
    <mergeCell ref="K5:K6"/>
    <mergeCell ref="L5:L6"/>
    <mergeCell ref="M5:M6"/>
    <mergeCell ref="N6:P6"/>
    <mergeCell ref="Q6:R6"/>
    <mergeCell ref="T4:T6"/>
    <mergeCell ref="A4:A6"/>
    <mergeCell ref="B4:B5"/>
    <mergeCell ref="C4:H4"/>
    <mergeCell ref="J4:J6"/>
    <mergeCell ref="L4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F433-61C4-4E60-9D83-ACA8B2720040}">
  <dimension ref="A1:AD16"/>
  <sheetViews>
    <sheetView zoomScale="65" zoomScaleNormal="70" workbookViewId="0">
      <selection activeCell="A15" sqref="A15"/>
    </sheetView>
  </sheetViews>
  <sheetFormatPr defaultRowHeight="14.4"/>
  <cols>
    <col min="1" max="1" width="34.21875" customWidth="1"/>
    <col min="2" max="2" width="14.5546875" customWidth="1"/>
    <col min="6" max="6" width="12.21875" customWidth="1"/>
    <col min="8" max="8" width="12.88671875" customWidth="1"/>
    <col min="11" max="11" width="2" customWidth="1"/>
    <col min="12" max="12" width="14.5546875" customWidth="1"/>
    <col min="17" max="17" width="10.44140625" customWidth="1"/>
    <col min="22" max="22" width="11.88671875" customWidth="1"/>
    <col min="24" max="24" width="2.33203125" customWidth="1"/>
    <col min="25" max="25" width="10.109375" customWidth="1"/>
    <col min="26" max="26" width="8.77734375" customWidth="1"/>
    <col min="27" max="27" width="4.77734375" customWidth="1"/>
  </cols>
  <sheetData>
    <row r="1" spans="1:30" ht="16.2" thickBot="1">
      <c r="A1" s="3" t="s">
        <v>1</v>
      </c>
      <c r="B1" s="174" t="s">
        <v>98</v>
      </c>
      <c r="C1" s="174"/>
      <c r="D1" s="174"/>
      <c r="E1" s="174"/>
      <c r="F1" s="174"/>
      <c r="G1" s="174"/>
      <c r="H1" s="174"/>
      <c r="I1" s="174"/>
      <c r="J1" s="134"/>
      <c r="K1" s="132"/>
      <c r="L1" s="306" t="s">
        <v>99</v>
      </c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</row>
    <row r="2" spans="1:30" ht="15.6" thickTop="1" thickBot="1">
      <c r="A2" s="4" t="s">
        <v>2</v>
      </c>
      <c r="B2" s="132"/>
      <c r="C2" s="132"/>
      <c r="D2" s="133" t="s">
        <v>11</v>
      </c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4"/>
      <c r="W2" s="134"/>
      <c r="X2" s="134"/>
      <c r="Y2" s="132"/>
      <c r="Z2" s="132"/>
      <c r="AA2" s="132"/>
    </row>
    <row r="3" spans="1:30" ht="15.6" thickTop="1" thickBot="1">
      <c r="A3" s="307" t="s">
        <v>100</v>
      </c>
      <c r="B3" s="309" t="s">
        <v>63</v>
      </c>
      <c r="C3" s="311" t="s">
        <v>22</v>
      </c>
      <c r="D3" s="311"/>
      <c r="E3" s="311"/>
      <c r="F3" s="311"/>
      <c r="G3" s="311"/>
      <c r="H3" s="311"/>
      <c r="I3" s="311"/>
      <c r="J3" s="175"/>
      <c r="K3" s="132"/>
      <c r="L3" s="290" t="s">
        <v>23</v>
      </c>
      <c r="M3" s="176" t="s">
        <v>64</v>
      </c>
      <c r="N3" s="312" t="s">
        <v>101</v>
      </c>
      <c r="O3" s="312"/>
      <c r="P3" s="312"/>
      <c r="Q3" s="312"/>
      <c r="R3" s="312"/>
      <c r="S3" s="312"/>
      <c r="T3" s="312"/>
      <c r="U3" s="312"/>
      <c r="V3" s="312" t="s">
        <v>66</v>
      </c>
      <c r="W3" s="313" t="s">
        <v>102</v>
      </c>
      <c r="X3" s="134"/>
      <c r="Y3" s="295" t="s">
        <v>67</v>
      </c>
      <c r="Z3" s="295"/>
      <c r="AA3" s="132"/>
    </row>
    <row r="4" spans="1:30" ht="43.8" thickTop="1">
      <c r="A4" s="307"/>
      <c r="B4" s="310"/>
      <c r="C4" s="136" t="s">
        <v>103</v>
      </c>
      <c r="D4" s="136" t="s">
        <v>7</v>
      </c>
      <c r="E4" s="136" t="s">
        <v>44</v>
      </c>
      <c r="F4" s="136" t="s">
        <v>9</v>
      </c>
      <c r="G4" s="136" t="s">
        <v>104</v>
      </c>
      <c r="H4" s="314" t="s">
        <v>68</v>
      </c>
      <c r="I4" s="177" t="s">
        <v>69</v>
      </c>
      <c r="J4" s="178" t="s">
        <v>105</v>
      </c>
      <c r="K4" s="132"/>
      <c r="L4" s="291"/>
      <c r="M4" s="150" t="s">
        <v>41</v>
      </c>
      <c r="N4" s="298" t="s">
        <v>70</v>
      </c>
      <c r="O4" s="298" t="s">
        <v>106</v>
      </c>
      <c r="P4" s="137" t="s">
        <v>72</v>
      </c>
      <c r="Q4" s="150" t="s">
        <v>15</v>
      </c>
      <c r="R4" s="150" t="s">
        <v>73</v>
      </c>
      <c r="S4" s="137" t="s">
        <v>74</v>
      </c>
      <c r="T4" s="138" t="s">
        <v>75</v>
      </c>
      <c r="U4" s="138" t="s">
        <v>76</v>
      </c>
      <c r="V4" s="312"/>
      <c r="W4" s="313"/>
      <c r="X4" s="134"/>
      <c r="Y4" s="295"/>
      <c r="Z4" s="295"/>
      <c r="AA4" s="132"/>
      <c r="AB4" s="316" t="s">
        <v>107</v>
      </c>
      <c r="AC4" s="316"/>
      <c r="AD4" s="316"/>
    </row>
    <row r="5" spans="1:30" ht="15" thickBot="1">
      <c r="A5" s="308"/>
      <c r="B5" s="179"/>
      <c r="C5" s="317" t="s">
        <v>22</v>
      </c>
      <c r="D5" s="317"/>
      <c r="E5" s="317"/>
      <c r="F5" s="317"/>
      <c r="G5" s="317"/>
      <c r="H5" s="315"/>
      <c r="I5" s="177" t="s">
        <v>77</v>
      </c>
      <c r="J5" s="180">
        <v>0.12</v>
      </c>
      <c r="K5" s="132"/>
      <c r="L5" s="292"/>
      <c r="M5" s="181">
        <v>0.05</v>
      </c>
      <c r="N5" s="297"/>
      <c r="O5" s="299"/>
      <c r="P5" s="312" t="s">
        <v>27</v>
      </c>
      <c r="Q5" s="312"/>
      <c r="R5" s="312"/>
      <c r="S5" s="312" t="s">
        <v>78</v>
      </c>
      <c r="T5" s="312"/>
      <c r="U5" s="139" t="s">
        <v>29</v>
      </c>
      <c r="V5" s="312"/>
      <c r="W5" s="313"/>
      <c r="X5" s="134"/>
      <c r="Y5" s="140" t="s">
        <v>79</v>
      </c>
      <c r="Z5" s="140" t="s">
        <v>80</v>
      </c>
      <c r="AA5" s="132"/>
    </row>
    <row r="6" spans="1:30" ht="15.6" thickTop="1" thickBot="1">
      <c r="A6" s="147" t="s">
        <v>108</v>
      </c>
      <c r="B6" s="141">
        <f>1695+20</f>
        <v>1715</v>
      </c>
      <c r="C6" s="144">
        <v>80</v>
      </c>
      <c r="D6" s="144">
        <v>25</v>
      </c>
      <c r="E6" s="144">
        <v>4</v>
      </c>
      <c r="F6" s="144">
        <v>8</v>
      </c>
      <c r="G6" s="144">
        <v>80</v>
      </c>
      <c r="H6" s="142">
        <f>B6-C6-D6-E6-F6-G6</f>
        <v>1518</v>
      </c>
      <c r="I6" s="182">
        <f>H6*0.05</f>
        <v>75.900000000000006</v>
      </c>
      <c r="J6" s="183">
        <f>(H6-I6)*0.12</f>
        <v>173.05199999999999</v>
      </c>
      <c r="K6" s="132"/>
      <c r="L6" s="143">
        <f>H6-I6+J6</f>
        <v>1615.1519999999998</v>
      </c>
      <c r="M6" s="142">
        <f t="shared" ref="M6:M14" si="0">L6*0.05</f>
        <v>80.757599999999996</v>
      </c>
      <c r="N6" s="142">
        <v>30</v>
      </c>
      <c r="O6" s="142">
        <v>10</v>
      </c>
      <c r="P6" s="144">
        <v>5</v>
      </c>
      <c r="Q6" s="144">
        <v>5</v>
      </c>
      <c r="R6" s="144">
        <v>5</v>
      </c>
      <c r="S6" s="144">
        <v>100</v>
      </c>
      <c r="T6" s="145">
        <v>20</v>
      </c>
      <c r="U6" s="142"/>
      <c r="V6" s="148">
        <f>SUM(L6:U6)</f>
        <v>1870.9095999999997</v>
      </c>
      <c r="W6" s="148">
        <f>Y6-V6</f>
        <v>9.0904000000002725</v>
      </c>
      <c r="X6" s="134"/>
      <c r="Y6" s="146">
        <v>1880</v>
      </c>
      <c r="Z6" s="146">
        <v>100</v>
      </c>
      <c r="AA6" s="132">
        <f>Y6/20</f>
        <v>94</v>
      </c>
      <c r="AB6" s="184">
        <f t="shared" ref="AB6:AB9" si="1">Y6-S6</f>
        <v>1780</v>
      </c>
      <c r="AC6">
        <f t="shared" ref="AC6:AC9" si="2">W6/AB6</f>
        <v>5.1069662921349847E-3</v>
      </c>
    </row>
    <row r="7" spans="1:30" ht="15.6" thickTop="1" thickBot="1">
      <c r="A7" s="147" t="s">
        <v>109</v>
      </c>
      <c r="B7" s="141">
        <f>1435+20</f>
        <v>1455</v>
      </c>
      <c r="C7" s="144">
        <v>80</v>
      </c>
      <c r="D7" s="142">
        <v>25</v>
      </c>
      <c r="E7" s="142">
        <v>4</v>
      </c>
      <c r="F7" s="142">
        <v>8</v>
      </c>
      <c r="G7" s="144">
        <v>80</v>
      </c>
      <c r="H7" s="142">
        <f t="shared" ref="H7:H14" si="3">B7-C7-D7-E7-F7-G7</f>
        <v>1258</v>
      </c>
      <c r="I7" s="182">
        <f t="shared" ref="I7:I14" si="4">H7*0.05</f>
        <v>62.900000000000006</v>
      </c>
      <c r="J7" s="183">
        <f t="shared" ref="J7:J14" si="5">(H7-I7)*0.12</f>
        <v>143.41199999999998</v>
      </c>
      <c r="K7" s="132"/>
      <c r="L7" s="143">
        <f t="shared" ref="L7:L14" si="6">H7-I7+J7</f>
        <v>1338.5119999999999</v>
      </c>
      <c r="M7" s="142">
        <f t="shared" si="0"/>
        <v>66.925600000000003</v>
      </c>
      <c r="N7" s="142">
        <v>30</v>
      </c>
      <c r="O7" s="142">
        <v>10</v>
      </c>
      <c r="P7" s="142">
        <v>5</v>
      </c>
      <c r="Q7" s="142">
        <v>5</v>
      </c>
      <c r="R7" s="142">
        <v>5</v>
      </c>
      <c r="S7" s="142">
        <v>100</v>
      </c>
      <c r="T7" s="145">
        <v>20</v>
      </c>
      <c r="U7" s="142"/>
      <c r="V7" s="148">
        <f t="shared" ref="V7:V13" si="7">SUM(L7:U7)</f>
        <v>1580.4376</v>
      </c>
      <c r="W7" s="148">
        <f t="shared" ref="W7:W13" si="8">Y7-V7</f>
        <v>-0.4375999999999749</v>
      </c>
      <c r="X7" s="134"/>
      <c r="Y7" s="143">
        <v>1580</v>
      </c>
      <c r="Z7" s="143">
        <v>87</v>
      </c>
      <c r="AA7" s="132">
        <f t="shared" ref="AA7:AA9" si="9">Y7/20</f>
        <v>79</v>
      </c>
      <c r="AB7" s="184">
        <f t="shared" si="1"/>
        <v>1480</v>
      </c>
      <c r="AC7">
        <f t="shared" si="2"/>
        <v>-2.9567567567565872E-4</v>
      </c>
      <c r="AD7">
        <f>1480/20</f>
        <v>74</v>
      </c>
    </row>
    <row r="8" spans="1:30" ht="15.6" thickTop="1" thickBot="1">
      <c r="A8" s="147" t="s">
        <v>110</v>
      </c>
      <c r="B8" s="141">
        <f>1488+20</f>
        <v>1508</v>
      </c>
      <c r="C8" s="144">
        <v>80</v>
      </c>
      <c r="D8" s="142">
        <v>25</v>
      </c>
      <c r="E8" s="142">
        <v>4</v>
      </c>
      <c r="F8" s="142">
        <v>8</v>
      </c>
      <c r="G8" s="144">
        <v>80</v>
      </c>
      <c r="H8" s="142">
        <f t="shared" si="3"/>
        <v>1311</v>
      </c>
      <c r="I8" s="182">
        <f t="shared" si="4"/>
        <v>65.55</v>
      </c>
      <c r="J8" s="183">
        <f t="shared" si="5"/>
        <v>149.45400000000001</v>
      </c>
      <c r="K8" s="132"/>
      <c r="L8" s="143">
        <f t="shared" si="6"/>
        <v>1394.904</v>
      </c>
      <c r="M8" s="142">
        <f t="shared" si="0"/>
        <v>69.745199999999997</v>
      </c>
      <c r="N8" s="142">
        <v>30</v>
      </c>
      <c r="O8" s="142">
        <v>10</v>
      </c>
      <c r="P8" s="142">
        <v>5</v>
      </c>
      <c r="Q8" s="142">
        <v>5</v>
      </c>
      <c r="R8" s="142">
        <v>5</v>
      </c>
      <c r="S8" s="142">
        <v>100</v>
      </c>
      <c r="T8" s="145">
        <v>20</v>
      </c>
      <c r="U8" s="142"/>
      <c r="V8" s="148">
        <f t="shared" si="7"/>
        <v>1639.6492000000001</v>
      </c>
      <c r="W8" s="148">
        <f t="shared" si="8"/>
        <v>0.35079999999993561</v>
      </c>
      <c r="X8" s="134"/>
      <c r="Y8" s="143">
        <v>1640</v>
      </c>
      <c r="Z8" s="143">
        <v>90</v>
      </c>
      <c r="AA8" s="132">
        <f t="shared" si="9"/>
        <v>82</v>
      </c>
      <c r="AB8" s="184">
        <f t="shared" si="1"/>
        <v>1540</v>
      </c>
      <c r="AC8">
        <f t="shared" si="2"/>
        <v>2.2779220779216598E-4</v>
      </c>
    </row>
    <row r="9" spans="1:30" ht="15.6" thickTop="1" thickBot="1">
      <c r="A9" s="147" t="s">
        <v>111</v>
      </c>
      <c r="B9" s="141">
        <f>2049.51+20</f>
        <v>2069.5100000000002</v>
      </c>
      <c r="C9" s="144">
        <v>80</v>
      </c>
      <c r="D9" s="142">
        <v>25</v>
      </c>
      <c r="E9" s="142">
        <v>4</v>
      </c>
      <c r="F9" s="142">
        <v>8</v>
      </c>
      <c r="G9" s="144">
        <v>80</v>
      </c>
      <c r="H9" s="142">
        <f t="shared" si="3"/>
        <v>1872.5100000000002</v>
      </c>
      <c r="I9" s="182">
        <f t="shared" si="4"/>
        <v>93.625500000000017</v>
      </c>
      <c r="J9" s="183">
        <f t="shared" si="5"/>
        <v>213.46614</v>
      </c>
      <c r="K9" s="132"/>
      <c r="L9" s="143">
        <f t="shared" si="6"/>
        <v>1992.3506400000001</v>
      </c>
      <c r="M9" s="142">
        <f t="shared" si="0"/>
        <v>99.617532000000011</v>
      </c>
      <c r="N9" s="142">
        <v>30</v>
      </c>
      <c r="O9" s="142">
        <v>10</v>
      </c>
      <c r="P9" s="142">
        <v>5</v>
      </c>
      <c r="Q9" s="142">
        <v>5</v>
      </c>
      <c r="R9" s="142">
        <v>5</v>
      </c>
      <c r="S9" s="142">
        <v>100</v>
      </c>
      <c r="T9" s="145">
        <v>20</v>
      </c>
      <c r="U9" s="142"/>
      <c r="V9" s="148">
        <f t="shared" si="7"/>
        <v>2266.9681720000003</v>
      </c>
      <c r="W9" s="148">
        <f t="shared" si="8"/>
        <v>3.0318279999996776</v>
      </c>
      <c r="X9" s="134"/>
      <c r="Y9" s="143">
        <v>2270</v>
      </c>
      <c r="Z9" s="143">
        <v>125</v>
      </c>
      <c r="AA9" s="132">
        <f t="shared" si="9"/>
        <v>113.5</v>
      </c>
      <c r="AB9" s="184">
        <f t="shared" si="1"/>
        <v>2170</v>
      </c>
      <c r="AC9">
        <f t="shared" si="2"/>
        <v>1.3971557603685151E-3</v>
      </c>
    </row>
    <row r="10" spans="1:30" ht="15.6" thickTop="1" thickBot="1">
      <c r="A10" s="147" t="s">
        <v>112</v>
      </c>
      <c r="B10" s="141">
        <f>371.5+5</f>
        <v>376.5</v>
      </c>
      <c r="C10" s="142">
        <v>20</v>
      </c>
      <c r="D10" s="142">
        <v>6.25</v>
      </c>
      <c r="E10" s="142">
        <v>1</v>
      </c>
      <c r="F10" s="142">
        <v>2</v>
      </c>
      <c r="G10" s="142">
        <v>20</v>
      </c>
      <c r="H10" s="142">
        <f t="shared" si="3"/>
        <v>327.25</v>
      </c>
      <c r="I10" s="182">
        <f t="shared" si="4"/>
        <v>16.362500000000001</v>
      </c>
      <c r="J10" s="183">
        <f t="shared" si="5"/>
        <v>37.3065</v>
      </c>
      <c r="K10" s="132"/>
      <c r="L10" s="143">
        <f t="shared" si="6"/>
        <v>348.19399999999996</v>
      </c>
      <c r="M10" s="142">
        <f t="shared" si="0"/>
        <v>17.409699999999997</v>
      </c>
      <c r="N10" s="142">
        <v>10</v>
      </c>
      <c r="O10" s="142">
        <v>5</v>
      </c>
      <c r="P10" s="142">
        <v>1.25</v>
      </c>
      <c r="Q10" s="142">
        <v>1.25</v>
      </c>
      <c r="R10" s="142">
        <v>1.25</v>
      </c>
      <c r="S10" s="142">
        <v>25</v>
      </c>
      <c r="T10" s="145">
        <v>20</v>
      </c>
      <c r="U10" s="142"/>
      <c r="V10" s="148">
        <f t="shared" si="7"/>
        <v>429.35369999999995</v>
      </c>
      <c r="W10" s="148">
        <f t="shared" si="8"/>
        <v>20.646300000000053</v>
      </c>
      <c r="X10" s="134"/>
      <c r="Y10" s="143">
        <v>450</v>
      </c>
      <c r="Z10" s="143">
        <v>95</v>
      </c>
      <c r="AA10" s="132">
        <f>Y10/5</f>
        <v>90</v>
      </c>
      <c r="AB10" s="184">
        <f>Y10-S10</f>
        <v>425</v>
      </c>
      <c r="AC10">
        <f>W10/AB10</f>
        <v>4.8579529411764834E-2</v>
      </c>
      <c r="AD10" s="185" t="s">
        <v>113</v>
      </c>
    </row>
    <row r="11" spans="1:30" ht="15.6" thickTop="1" thickBot="1">
      <c r="A11" s="147" t="s">
        <v>114</v>
      </c>
      <c r="B11" s="141">
        <f>381.5+5</f>
        <v>386.5</v>
      </c>
      <c r="C11" s="142">
        <v>20</v>
      </c>
      <c r="D11" s="142">
        <v>6.25</v>
      </c>
      <c r="E11" s="142">
        <v>1</v>
      </c>
      <c r="F11" s="142">
        <v>2</v>
      </c>
      <c r="G11" s="142">
        <v>20</v>
      </c>
      <c r="H11" s="142">
        <f t="shared" si="3"/>
        <v>337.25</v>
      </c>
      <c r="I11" s="182">
        <f t="shared" si="4"/>
        <v>16.862500000000001</v>
      </c>
      <c r="J11" s="183">
        <f t="shared" si="5"/>
        <v>38.4465</v>
      </c>
      <c r="K11" s="132"/>
      <c r="L11" s="143">
        <f t="shared" si="6"/>
        <v>358.834</v>
      </c>
      <c r="M11" s="142">
        <f t="shared" si="0"/>
        <v>17.941700000000001</v>
      </c>
      <c r="N11" s="142">
        <v>10</v>
      </c>
      <c r="O11" s="142">
        <v>5</v>
      </c>
      <c r="P11" s="142">
        <v>1.25</v>
      </c>
      <c r="Q11" s="142">
        <v>1.25</v>
      </c>
      <c r="R11" s="142">
        <v>1.25</v>
      </c>
      <c r="S11" s="142">
        <v>25</v>
      </c>
      <c r="T11" s="145">
        <v>20</v>
      </c>
      <c r="U11" s="142"/>
      <c r="V11" s="148">
        <f t="shared" si="7"/>
        <v>440.52570000000003</v>
      </c>
      <c r="W11" s="148">
        <f t="shared" si="8"/>
        <v>29.474299999999971</v>
      </c>
      <c r="X11" s="134"/>
      <c r="Y11" s="143">
        <v>470</v>
      </c>
      <c r="Z11" s="143">
        <v>98</v>
      </c>
      <c r="AA11" s="132">
        <f t="shared" ref="AA11:AA12" si="10">Y11/5</f>
        <v>94</v>
      </c>
      <c r="AB11" s="184">
        <f t="shared" ref="AB11:AB13" si="11">Y11-S11</f>
        <v>445</v>
      </c>
      <c r="AC11">
        <f t="shared" ref="AC11:AC13" si="12">W11/AB11</f>
        <v>6.6234382022471838E-2</v>
      </c>
      <c r="AD11" s="185" t="s">
        <v>113</v>
      </c>
    </row>
    <row r="12" spans="1:30" ht="15.6" thickTop="1" thickBot="1">
      <c r="A12" s="147" t="s">
        <v>115</v>
      </c>
      <c r="B12" s="141">
        <f>525.87+5</f>
        <v>530.87</v>
      </c>
      <c r="C12" s="142">
        <v>20</v>
      </c>
      <c r="D12" s="142">
        <v>6.25</v>
      </c>
      <c r="E12" s="142">
        <v>1</v>
      </c>
      <c r="F12" s="142">
        <v>2</v>
      </c>
      <c r="G12" s="142">
        <v>20</v>
      </c>
      <c r="H12" s="142">
        <f t="shared" si="3"/>
        <v>481.62</v>
      </c>
      <c r="I12" s="182">
        <f t="shared" si="4"/>
        <v>24.081000000000003</v>
      </c>
      <c r="J12" s="183">
        <f t="shared" si="5"/>
        <v>54.904679999999999</v>
      </c>
      <c r="K12" s="132"/>
      <c r="L12" s="143">
        <f t="shared" si="6"/>
        <v>512.44367999999997</v>
      </c>
      <c r="M12" s="142">
        <v>25</v>
      </c>
      <c r="N12" s="142">
        <v>10</v>
      </c>
      <c r="O12" s="142">
        <v>5</v>
      </c>
      <c r="P12" s="142">
        <v>1.25</v>
      </c>
      <c r="Q12" s="142">
        <v>1.25</v>
      </c>
      <c r="R12" s="142">
        <v>1.25</v>
      </c>
      <c r="S12" s="142">
        <v>25</v>
      </c>
      <c r="T12" s="145">
        <v>20</v>
      </c>
      <c r="U12" s="142"/>
      <c r="V12" s="148">
        <f t="shared" si="7"/>
        <v>601.19367999999997</v>
      </c>
      <c r="W12" s="148">
        <f t="shared" si="8"/>
        <v>28.806320000000028</v>
      </c>
      <c r="X12" s="134"/>
      <c r="Y12" s="143">
        <v>630</v>
      </c>
      <c r="Z12" s="143">
        <v>130</v>
      </c>
      <c r="AA12" s="132">
        <f t="shared" si="10"/>
        <v>126</v>
      </c>
      <c r="AB12" s="184">
        <f t="shared" si="11"/>
        <v>605</v>
      </c>
      <c r="AC12">
        <f t="shared" si="12"/>
        <v>4.7613752066115747E-2</v>
      </c>
      <c r="AD12" s="185" t="s">
        <v>113</v>
      </c>
    </row>
    <row r="13" spans="1:30" ht="15.6" thickTop="1" thickBot="1">
      <c r="A13" s="147" t="s">
        <v>116</v>
      </c>
      <c r="B13" s="141">
        <f>1875+20</f>
        <v>1895</v>
      </c>
      <c r="C13" s="142">
        <v>80</v>
      </c>
      <c r="D13" s="142">
        <v>25</v>
      </c>
      <c r="E13" s="142">
        <v>4</v>
      </c>
      <c r="F13" s="142">
        <v>8</v>
      </c>
      <c r="G13" s="142">
        <v>80</v>
      </c>
      <c r="H13" s="142">
        <f t="shared" si="3"/>
        <v>1698</v>
      </c>
      <c r="I13" s="182">
        <f t="shared" si="4"/>
        <v>84.9</v>
      </c>
      <c r="J13" s="183">
        <f t="shared" si="5"/>
        <v>193.57199999999997</v>
      </c>
      <c r="K13" s="132"/>
      <c r="L13" s="143">
        <f t="shared" si="6"/>
        <v>1806.6719999999998</v>
      </c>
      <c r="M13" s="142">
        <f t="shared" si="0"/>
        <v>90.33359999999999</v>
      </c>
      <c r="N13" s="142">
        <v>30</v>
      </c>
      <c r="O13" s="142">
        <v>10</v>
      </c>
      <c r="P13" s="142">
        <v>5</v>
      </c>
      <c r="Q13" s="142">
        <v>5</v>
      </c>
      <c r="R13" s="142">
        <v>5</v>
      </c>
      <c r="S13" s="142">
        <v>100</v>
      </c>
      <c r="T13" s="145">
        <v>20</v>
      </c>
      <c r="U13" s="142"/>
      <c r="V13" s="148">
        <f t="shared" si="7"/>
        <v>2072.0055999999995</v>
      </c>
      <c r="W13" s="148">
        <f t="shared" si="8"/>
        <v>7.9944000000004962</v>
      </c>
      <c r="X13" s="134"/>
      <c r="Y13" s="143">
        <v>2080</v>
      </c>
      <c r="Z13" s="143">
        <v>220</v>
      </c>
      <c r="AA13" s="132">
        <f>Y13/20</f>
        <v>104</v>
      </c>
      <c r="AB13" s="184">
        <f t="shared" si="11"/>
        <v>1980</v>
      </c>
      <c r="AC13">
        <f t="shared" si="12"/>
        <v>4.0375757575760078E-3</v>
      </c>
    </row>
    <row r="14" spans="1:30" ht="15.6" thickTop="1" thickBot="1">
      <c r="A14" s="186" t="s">
        <v>117</v>
      </c>
      <c r="B14" s="187">
        <v>1285</v>
      </c>
      <c r="C14" t="e">
        <f>#REF!</f>
        <v>#REF!</v>
      </c>
      <c r="D14" t="e">
        <f>#REF!</f>
        <v>#REF!</v>
      </c>
      <c r="G14" t="e">
        <f>#REF!</f>
        <v>#REF!</v>
      </c>
      <c r="H14" s="142" t="e">
        <f t="shared" si="3"/>
        <v>#REF!</v>
      </c>
      <c r="I14" s="182" t="e">
        <f t="shared" si="4"/>
        <v>#REF!</v>
      </c>
      <c r="J14" s="183" t="e">
        <f t="shared" si="5"/>
        <v>#REF!</v>
      </c>
      <c r="L14" s="143" t="e">
        <f t="shared" si="6"/>
        <v>#REF!</v>
      </c>
      <c r="M14" s="188" t="e">
        <f t="shared" si="0"/>
        <v>#REF!</v>
      </c>
      <c r="N14" s="189">
        <v>5</v>
      </c>
      <c r="O14" s="190">
        <v>2</v>
      </c>
      <c r="P14" s="147"/>
      <c r="Q14" s="147"/>
      <c r="R14" s="147"/>
      <c r="S14" s="149">
        <v>144</v>
      </c>
      <c r="T14" s="149">
        <v>5</v>
      </c>
      <c r="U14" s="149"/>
      <c r="V14" s="191" t="e">
        <f>SUM(L14:U14)</f>
        <v>#REF!</v>
      </c>
      <c r="W14" s="147"/>
      <c r="Y14" s="143">
        <v>1275</v>
      </c>
      <c r="Z14" s="143">
        <v>27</v>
      </c>
    </row>
    <row r="15" spans="1:30" ht="15.6" thickTop="1" thickBot="1">
      <c r="A15" s="147" t="s">
        <v>118</v>
      </c>
      <c r="F15">
        <f>8/20</f>
        <v>0.4</v>
      </c>
      <c r="L15" s="142">
        <v>510.72</v>
      </c>
      <c r="M15" s="188">
        <v>27</v>
      </c>
      <c r="N15" s="192">
        <v>10</v>
      </c>
      <c r="O15" s="193">
        <v>5</v>
      </c>
      <c r="P15" s="149">
        <v>2.5</v>
      </c>
      <c r="Q15" s="149">
        <v>2.5</v>
      </c>
      <c r="R15" s="149">
        <v>2.5</v>
      </c>
      <c r="S15" s="149">
        <v>70</v>
      </c>
      <c r="T15" s="149">
        <v>5</v>
      </c>
      <c r="U15" s="149"/>
      <c r="V15" s="191">
        <f>SUM(L15:U15)</f>
        <v>635.22</v>
      </c>
      <c r="W15" s="147"/>
      <c r="Y15" s="143">
        <v>640</v>
      </c>
      <c r="Z15" s="143">
        <v>750</v>
      </c>
    </row>
    <row r="16" spans="1:30" ht="15" thickTop="1"/>
  </sheetData>
  <mergeCells count="16">
    <mergeCell ref="L1:AD1"/>
    <mergeCell ref="A3:A5"/>
    <mergeCell ref="B3:B4"/>
    <mergeCell ref="C3:I3"/>
    <mergeCell ref="L3:L5"/>
    <mergeCell ref="N3:U3"/>
    <mergeCell ref="V3:V5"/>
    <mergeCell ref="W3:W5"/>
    <mergeCell ref="Y3:Z4"/>
    <mergeCell ref="H4:H5"/>
    <mergeCell ref="N4:N5"/>
    <mergeCell ref="O4:O5"/>
    <mergeCell ref="AB4:AD4"/>
    <mergeCell ref="C5:G5"/>
    <mergeCell ref="P5:R5"/>
    <mergeCell ref="S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Hogs</vt:lpstr>
      <vt:lpstr>RobiChem</vt:lpstr>
      <vt:lpstr>GameFowl</vt:lpstr>
      <vt:lpstr>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Desk</dc:creator>
  <cp:lastModifiedBy>Glomer Pimentel</cp:lastModifiedBy>
  <dcterms:created xsi:type="dcterms:W3CDTF">2026-07-22T11:28:38Z</dcterms:created>
  <dcterms:modified xsi:type="dcterms:W3CDTF">2026-08-19T05:22:27Z</dcterms:modified>
</cp:coreProperties>
</file>