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BBA1ED5D-28BB-4D77-A762-5ABAC56BBF02}" xr6:coauthVersionLast="47" xr6:coauthVersionMax="47" xr10:uidLastSave="{00000000-0000-0000-0000-000000000000}"/>
  <bookViews>
    <workbookView xWindow="-108" yWindow="-108" windowWidth="23256" windowHeight="13896" tabRatio="500" activeTab="2" xr2:uid="{00000000-000D-0000-FFFF-FFFF00000000}"/>
  </bookViews>
  <sheets>
    <sheet name="Deliveries" sheetId="1" r:id="rId1"/>
    <sheet name="Payments" sheetId="2" r:id="rId2"/>
    <sheet name="Reconciliation" sheetId="3" r:id="rId3"/>
    <sheet name="Sheet1" sheetId="5" r:id="rId4"/>
    <sheet name="Legend" sheetId="4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3" l="1"/>
  <c r="B19" i="3"/>
  <c r="B18" i="3"/>
  <c r="B17" i="3"/>
  <c r="D16" i="2"/>
  <c r="D6" i="3" s="1"/>
  <c r="B16" i="2"/>
  <c r="C6" i="3" s="1"/>
  <c r="E15" i="2"/>
  <c r="E14" i="2"/>
  <c r="E13" i="2"/>
  <c r="E12" i="2"/>
  <c r="E11" i="2"/>
  <c r="E10" i="2"/>
  <c r="E9" i="2"/>
  <c r="E8" i="2"/>
  <c r="E7" i="2"/>
  <c r="E6" i="2"/>
  <c r="E5" i="2"/>
  <c r="C18" i="1"/>
  <c r="B18" i="1"/>
  <c r="D18" i="1" s="1"/>
  <c r="B21" i="3" s="1"/>
  <c r="F17" i="1"/>
  <c r="C17" i="1"/>
  <c r="D5" i="3" s="1"/>
  <c r="D7" i="3" s="1"/>
  <c r="D9" i="3" s="1"/>
  <c r="B17" i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17" i="1" l="1"/>
  <c r="B22" i="3"/>
  <c r="E16" i="2"/>
  <c r="B17" i="2"/>
  <c r="B6" i="3" s="1"/>
  <c r="B5" i="3"/>
  <c r="C5" i="3"/>
  <c r="C7" i="3" s="1"/>
  <c r="C9" i="3" s="1"/>
  <c r="B7" i="3" l="1"/>
  <c r="B9" i="3" s="1"/>
  <c r="C22" i="3" s="1"/>
</calcChain>
</file>

<file path=xl/sharedStrings.xml><?xml version="1.0" encoding="utf-8"?>
<sst xmlns="http://schemas.openxmlformats.org/spreadsheetml/2006/main" count="120" uniqueCount="101">
  <si>
    <t>JEROME RACAZA ACCOUNT - DELIVERY COMPARISON</t>
  </si>
  <si>
    <t>Handwritten ledger vs. SMS list from Jerome Racaza (URC Cbr). All amounts in PHP.</t>
  </si>
  <si>
    <t>Date</t>
  </si>
  <si>
    <t>Handwritten (PHP)</t>
  </si>
  <si>
    <t>SMS List (PHP)</t>
  </si>
  <si>
    <t>Variance (PHP)</t>
  </si>
  <si>
    <t>Status</t>
  </si>
  <si>
    <t>Qty (HW)</t>
  </si>
  <si>
    <t>05/15</t>
  </si>
  <si>
    <t>05/22</t>
  </si>
  <si>
    <t>05/26</t>
  </si>
  <si>
    <t>06/04</t>
  </si>
  <si>
    <t>06/12</t>
  </si>
  <si>
    <t>06/22</t>
  </si>
  <si>
    <t>06/30</t>
  </si>
  <si>
    <t>07/04</t>
  </si>
  <si>
    <t>07/09</t>
  </si>
  <si>
    <t>07/17</t>
  </si>
  <si>
    <t>07/24</t>
  </si>
  <si>
    <t>08/04</t>
  </si>
  <si>
    <t>TOTAL</t>
  </si>
  <si>
    <t>Through 07/24 only</t>
  </si>
  <si>
    <t>NOTES</t>
  </si>
  <si>
    <t>05/26: handwritten reads 19,100; SMS reads 19,005. Handwriting was hard to read - please verify.</t>
  </si>
  <si>
    <t>06/04: handwritten 81,967 vs SMS 82,067. Possible transposition of the middle digits.</t>
  </si>
  <si>
    <t>06/22 and 07/17: handwritten is exactly 500 higher than SMS on both. Likely a keying error on one side.</t>
  </si>
  <si>
    <t>08/04 delivery of 58,530 appears only in the SMS list. The handwritten sheet stops at 07/24.</t>
  </si>
  <si>
    <t>Qty column is the encircled figure beside each amount on the handwritten sheet (units delivered).</t>
  </si>
  <si>
    <t>JEROME RACAZA ACCOUNT - PAYMENT COMPARISON</t>
  </si>
  <si>
    <t>Handwritten ledger vs. SMS list. Handwritten entries grouped to match SMS dating.</t>
  </si>
  <si>
    <t>HW Detail</t>
  </si>
  <si>
    <t>Excluded from the 415,000 subtotal on the sheet</t>
  </si>
  <si>
    <t>06/03</t>
  </si>
  <si>
    <t>no entry</t>
  </si>
  <si>
    <t>NOT RECORDED on the handwritten sheet</t>
  </si>
  <si>
    <t>55,000 (6/22) + 17,000 (6/23)</t>
  </si>
  <si>
    <t>Same amount, dated differently</t>
  </si>
  <si>
    <t>69,000 + 33,000</t>
  </si>
  <si>
    <t>60,000 + 14,000</t>
  </si>
  <si>
    <t>After the handwritten cut-off</t>
  </si>
  <si>
    <t>08/08</t>
  </si>
  <si>
    <t>TOTAL LISTED</t>
  </si>
  <si>
    <t>CREDITED on HW sheet</t>
  </si>
  <si>
    <t>Total listed less 5/22 and 6/3</t>
  </si>
  <si>
    <t>This is the circled 415,000 on the sheet</t>
  </si>
  <si>
    <t>The circled 415,000 on the handwritten sheet excludes the 5/22 (35,000) and 6/3 (12,000) payments.</t>
  </si>
  <si>
    <t>Confirm whether those two were deliberately left out because they were applied to an older balance.</t>
  </si>
  <si>
    <t>The 06/22 payment of 75,000 in the SMS list has no counterpart anywhere on the handwritten sheet.</t>
  </si>
  <si>
    <t>Alternative reading: HW 6/22 (55,000) may pair with SMS 6/22 (75,000), leaving HW 6/23 (17,000)</t>
  </si>
  <si>
    <t>and SMS 6/30 (72,000) unmatched. Either way the 75,000 gap stands. Please confirm with Jerome.</t>
  </si>
  <si>
    <t>JEROME RACAZA ACCOUNT - BALANCE RECONCILIATION</t>
  </si>
  <si>
    <t>Three bases side by side. All figures pull from the Deliveries and Payments tabs.</t>
  </si>
  <si>
    <t>A. As per HW sheet</t>
  </si>
  <si>
    <t>B. HW deliveries,
all HW payments</t>
  </si>
  <si>
    <t>C. Full SMS basis</t>
  </si>
  <si>
    <t>Total deliveries</t>
  </si>
  <si>
    <t>Less: payments applied</t>
  </si>
  <si>
    <t>Balance before incentive</t>
  </si>
  <si>
    <t>Less: incentive</t>
  </si>
  <si>
    <t>Input cell - from the handwritten sheet</t>
  </si>
  <si>
    <t>STANDING BALANCE</t>
  </si>
  <si>
    <t>BASIS DEFINITIONS</t>
  </si>
  <si>
    <t>A.</t>
  </si>
  <si>
    <t>Exactly what the handwritten sheet computes: 707,993 deliveries less the circled 415,000.</t>
  </si>
  <si>
    <t>B.</t>
  </si>
  <si>
    <t>Handwritten deliveries, but crediting every payment written on the sheet including 5/22 and 6/3.</t>
  </si>
  <si>
    <t>C.</t>
  </si>
  <si>
    <t>Jerome's SMS figures in full, including the 08/04 delivery and the 08/04 and 08/08 payments.</t>
  </si>
  <si>
    <t>GAP BETWEEN BASIS A AND BASIS C</t>
  </si>
  <si>
    <t>Payments left out of the 415,000 subtotal (5/22 + 6/3)</t>
  </si>
  <si>
    <t>06/22 payment absent from the handwritten sheet</t>
  </si>
  <si>
    <t>August payments, after the handwritten cut-off</t>
  </si>
  <si>
    <t>Less: 08/04 delivery not yet booked on the sheet</t>
  </si>
  <si>
    <t>Net delivery overstatement on the handwritten sheet</t>
  </si>
  <si>
    <t>TOTAL GAP</t>
  </si>
  <si>
    <t>Cross-check: must equal the total gap</t>
  </si>
  <si>
    <t>TO VERIFY WITH JEROME</t>
  </si>
  <si>
    <t>1. Was the 06/22 payment of 75,000 actually received? It is the single largest unexplained item.</t>
  </si>
  <si>
    <t>2. Were the 5/22 (35,000) and 6/3 (12,000) payments applied to an older balance?</t>
  </si>
  <si>
    <t>3. Reconfirm the four delivery amounts flagged on the Deliveries tab (05/26, 06/04, 06/22, 07/17).</t>
  </si>
  <si>
    <t>4. Book the 08/04 delivery of 58,530 into the ledger.</t>
  </si>
  <si>
    <t>5. Confirm the 7,400 incentive figure and what period it covers.</t>
  </si>
  <si>
    <t>HOW TO USE THIS WORKBOOK</t>
  </si>
  <si>
    <t>Blue text</t>
  </si>
  <si>
    <t>Hardcoded input, typed from the source images. Edit these to correct a figure.</t>
  </si>
  <si>
    <t>Black text</t>
  </si>
  <si>
    <t>Formula. Do not overwrite - it recalculates from the blue inputs.</t>
  </si>
  <si>
    <t>Green text</t>
  </si>
  <si>
    <t>Link pulling a figure from another tab in this workbook.</t>
  </si>
  <si>
    <t>Peach fill</t>
  </si>
  <si>
    <t>Row where the handwritten sheet and the SMS list disagree.</t>
  </si>
  <si>
    <t>Yellow fill</t>
  </si>
  <si>
    <t>Final standing balance under each basis.</t>
  </si>
  <si>
    <t>SOURCES</t>
  </si>
  <si>
    <t>Handwritten ledger</t>
  </si>
  <si>
    <t>Photo of the handwritten Jerome Racaza account sheet, supplied by the user.</t>
  </si>
  <si>
    <t>SMS list</t>
  </si>
  <si>
    <t>Screenshot of the SMS thread with Jerome Racaza (URC Cbr), dated Aug 8-9.</t>
  </si>
  <si>
    <t>CAUTION</t>
  </si>
  <si>
    <t>Several handwritten figures were difficult to read from the photo. Every amount flagged</t>
  </si>
  <si>
    <t>on the Deliveries tab should be checked against the original paper before this is filed.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</si>
</sst>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10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i/>
      <sz val="9"/>
      <name val="Arial"/>
      <charset val="1"/>
    </font>
    <font>
      <sz val="10"/>
      <color rgb="FF008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164" fontId="5" fillId="0" borderId="1" xfId="0" applyNumberFormat="1" applyFont="1" applyBorder="1"/>
    <xf numFmtId="164" fontId="4" fillId="0" borderId="1" xfId="0" applyNumberFormat="1" applyFont="1" applyBorder="1"/>
    <xf numFmtId="0" fontId="4" fillId="0" borderId="1" xfId="0" applyFont="1" applyBorder="1"/>
    <xf numFmtId="0" fontId="4" fillId="3" borderId="1" xfId="0" applyFont="1" applyFill="1" applyBorder="1" applyAlignment="1">
      <alignment horizontal="center"/>
    </xf>
    <xf numFmtId="164" fontId="5" fillId="3" borderId="1" xfId="0" applyNumberFormat="1" applyFont="1" applyFill="1" applyBorder="1"/>
    <xf numFmtId="164" fontId="4" fillId="3" borderId="1" xfId="0" applyNumberFormat="1" applyFont="1" applyFill="1" applyBorder="1"/>
    <xf numFmtId="0" fontId="4" fillId="3" borderId="1" xfId="0" applyFont="1" applyFill="1" applyBorder="1"/>
    <xf numFmtId="0" fontId="6" fillId="4" borderId="1" xfId="0" applyFont="1" applyFill="1" applyBorder="1"/>
    <xf numFmtId="164" fontId="6" fillId="4" borderId="1" xfId="0" applyNumberFormat="1" applyFont="1" applyFill="1" applyBorder="1"/>
    <xf numFmtId="0" fontId="0" fillId="4" borderId="1" xfId="0" applyFill="1" applyBorder="1"/>
    <xf numFmtId="0" fontId="6" fillId="0" borderId="0" xfId="0" applyFont="1"/>
    <xf numFmtId="0" fontId="7" fillId="0" borderId="0" xfId="0" applyFont="1"/>
    <xf numFmtId="0" fontId="8" fillId="0" borderId="1" xfId="0" applyFont="1" applyBorder="1"/>
    <xf numFmtId="0" fontId="7" fillId="0" borderId="1" xfId="0" applyFont="1" applyBorder="1"/>
    <xf numFmtId="0" fontId="8" fillId="3" borderId="1" xfId="0" applyFont="1" applyFill="1" applyBorder="1"/>
    <xf numFmtId="0" fontId="7" fillId="3" borderId="1" xfId="0" applyFont="1" applyFill="1" applyBorder="1"/>
    <xf numFmtId="0" fontId="8" fillId="4" borderId="1" xfId="0" applyFont="1" applyFill="1" applyBorder="1"/>
    <xf numFmtId="0" fontId="7" fillId="4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164" fontId="9" fillId="0" borderId="1" xfId="0" applyNumberFormat="1" applyFont="1" applyBorder="1"/>
    <xf numFmtId="164" fontId="6" fillId="0" borderId="1" xfId="0" applyNumberFormat="1" applyFont="1" applyBorder="1"/>
    <xf numFmtId="0" fontId="8" fillId="0" borderId="0" xfId="0" applyFont="1"/>
    <xf numFmtId="164" fontId="6" fillId="5" borderId="1" xfId="0" applyNumberFormat="1" applyFont="1" applyFill="1" applyBorder="1"/>
    <xf numFmtId="0" fontId="4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showGridLines="0" zoomScaleNormal="100" workbookViewId="0">
      <pane ySplit="4" topLeftCell="A5" activePane="bottomLeft" state="frozen"/>
      <selection pane="bottomLeft" activeCell="E20" sqref="E20"/>
    </sheetView>
  </sheetViews>
  <sheetFormatPr defaultColWidth="8.6640625" defaultRowHeight="14.4" x14ac:dyDescent="0.3"/>
  <cols>
    <col min="1" max="1" width="12" customWidth="1"/>
    <col min="2" max="2" width="18" customWidth="1"/>
    <col min="3" max="3" width="16" customWidth="1"/>
    <col min="4" max="4" width="15" customWidth="1"/>
    <col min="5" max="5" width="18" customWidth="1"/>
    <col min="6" max="6" width="11" customWidth="1"/>
  </cols>
  <sheetData>
    <row r="1" spans="1:6" ht="16.8" x14ac:dyDescent="0.3">
      <c r="A1" s="1" t="s">
        <v>0</v>
      </c>
    </row>
    <row r="2" spans="1:6" x14ac:dyDescent="0.3">
      <c r="A2" s="2" t="s">
        <v>1</v>
      </c>
    </row>
    <row r="4" spans="1: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3">
      <c r="A5" s="4" t="s">
        <v>8</v>
      </c>
      <c r="B5" s="5">
        <v>68020</v>
      </c>
      <c r="C5" s="5">
        <v>68020</v>
      </c>
      <c r="D5" s="6">
        <f t="shared" ref="D5:D15" si="0">IF(B5="","",B5-C5)</f>
        <v>0</v>
      </c>
      <c r="E5" s="7" t="str">
        <f t="shared" ref="E5:E15" si="1">IF(B5="","Not on HW sheet",IF(D5=0,"Match",IF(D5&gt;0,"HW higher","SMS higher")))</f>
        <v>Match</v>
      </c>
      <c r="F5" s="5">
        <v>35</v>
      </c>
    </row>
    <row r="6" spans="1:6" x14ac:dyDescent="0.3">
      <c r="A6" s="4" t="s">
        <v>9</v>
      </c>
      <c r="B6" s="5">
        <v>80270</v>
      </c>
      <c r="C6" s="5">
        <v>80270</v>
      </c>
      <c r="D6" s="6">
        <f t="shared" si="0"/>
        <v>0</v>
      </c>
      <c r="E6" s="7" t="str">
        <f t="shared" si="1"/>
        <v>Match</v>
      </c>
      <c r="F6" s="5">
        <v>45</v>
      </c>
    </row>
    <row r="7" spans="1:6" x14ac:dyDescent="0.3">
      <c r="A7" s="8" t="s">
        <v>10</v>
      </c>
      <c r="B7" s="9">
        <v>19100</v>
      </c>
      <c r="C7" s="9">
        <v>19005</v>
      </c>
      <c r="D7" s="10">
        <f t="shared" si="0"/>
        <v>95</v>
      </c>
      <c r="E7" s="11" t="str">
        <f t="shared" si="1"/>
        <v>HW higher</v>
      </c>
      <c r="F7" s="9">
        <v>10</v>
      </c>
    </row>
    <row r="8" spans="1:6" x14ac:dyDescent="0.3">
      <c r="A8" s="8" t="s">
        <v>11</v>
      </c>
      <c r="B8" s="9">
        <v>81967</v>
      </c>
      <c r="C8" s="9">
        <v>82067</v>
      </c>
      <c r="D8" s="10">
        <f t="shared" si="0"/>
        <v>-100</v>
      </c>
      <c r="E8" s="11" t="str">
        <f t="shared" si="1"/>
        <v>SMS higher</v>
      </c>
      <c r="F8" s="9">
        <v>43</v>
      </c>
    </row>
    <row r="9" spans="1:6" x14ac:dyDescent="0.3">
      <c r="A9" s="4" t="s">
        <v>12</v>
      </c>
      <c r="B9" s="5">
        <v>94940</v>
      </c>
      <c r="C9" s="5">
        <v>94940</v>
      </c>
      <c r="D9" s="6">
        <f t="shared" si="0"/>
        <v>0</v>
      </c>
      <c r="E9" s="7" t="str">
        <f t="shared" si="1"/>
        <v>Match</v>
      </c>
      <c r="F9" s="5">
        <v>48</v>
      </c>
    </row>
    <row r="10" spans="1:6" x14ac:dyDescent="0.3">
      <c r="A10" s="8" t="s">
        <v>13</v>
      </c>
      <c r="B10" s="9">
        <v>78961</v>
      </c>
      <c r="C10" s="9">
        <v>78461</v>
      </c>
      <c r="D10" s="10">
        <f t="shared" si="0"/>
        <v>500</v>
      </c>
      <c r="E10" s="11" t="str">
        <f t="shared" si="1"/>
        <v>HW higher</v>
      </c>
      <c r="F10" s="9">
        <v>41</v>
      </c>
    </row>
    <row r="11" spans="1:6" x14ac:dyDescent="0.3">
      <c r="A11" s="4" t="s">
        <v>14</v>
      </c>
      <c r="B11" s="5">
        <v>61580</v>
      </c>
      <c r="C11" s="5">
        <v>61580</v>
      </c>
      <c r="D11" s="6">
        <f t="shared" si="0"/>
        <v>0</v>
      </c>
      <c r="E11" s="7" t="str">
        <f t="shared" si="1"/>
        <v>Match</v>
      </c>
      <c r="F11" s="5">
        <v>31</v>
      </c>
    </row>
    <row r="12" spans="1:6" x14ac:dyDescent="0.3">
      <c r="A12" s="4" t="s">
        <v>15</v>
      </c>
      <c r="B12" s="5">
        <v>56470</v>
      </c>
      <c r="C12" s="5">
        <v>56470</v>
      </c>
      <c r="D12" s="6">
        <f t="shared" si="0"/>
        <v>0</v>
      </c>
      <c r="E12" s="7" t="str">
        <f t="shared" si="1"/>
        <v>Match</v>
      </c>
      <c r="F12" s="5">
        <v>30</v>
      </c>
    </row>
    <row r="13" spans="1:6" x14ac:dyDescent="0.3">
      <c r="A13" s="4" t="s">
        <v>16</v>
      </c>
      <c r="B13" s="5">
        <v>53375</v>
      </c>
      <c r="C13" s="5">
        <v>53375</v>
      </c>
      <c r="D13" s="6">
        <f t="shared" si="0"/>
        <v>0</v>
      </c>
      <c r="E13" s="7" t="str">
        <f t="shared" si="1"/>
        <v>Match</v>
      </c>
      <c r="F13" s="5">
        <v>25</v>
      </c>
    </row>
    <row r="14" spans="1:6" x14ac:dyDescent="0.3">
      <c r="A14" s="8" t="s">
        <v>17</v>
      </c>
      <c r="B14" s="9">
        <v>55030</v>
      </c>
      <c r="C14" s="9">
        <v>54530</v>
      </c>
      <c r="D14" s="10">
        <f t="shared" si="0"/>
        <v>500</v>
      </c>
      <c r="E14" s="11" t="str">
        <f t="shared" si="1"/>
        <v>HW higher</v>
      </c>
      <c r="F14" s="9">
        <v>30</v>
      </c>
    </row>
    <row r="15" spans="1:6" x14ac:dyDescent="0.3">
      <c r="A15" s="4" t="s">
        <v>18</v>
      </c>
      <c r="B15" s="5">
        <v>58280</v>
      </c>
      <c r="C15" s="5">
        <v>58280</v>
      </c>
      <c r="D15" s="6">
        <f t="shared" si="0"/>
        <v>0</v>
      </c>
      <c r="E15" s="7" t="str">
        <f t="shared" si="1"/>
        <v>Match</v>
      </c>
      <c r="F15" s="5">
        <v>22</v>
      </c>
    </row>
    <row r="16" spans="1:6" x14ac:dyDescent="0.3">
      <c r="A16" s="8" t="s">
        <v>19</v>
      </c>
      <c r="B16" s="9">
        <v>58530</v>
      </c>
      <c r="C16" s="9">
        <v>58530</v>
      </c>
      <c r="D16" s="10">
        <f>IF(B16="","",B16-C16)</f>
        <v>0</v>
      </c>
      <c r="E16" s="11" t="str">
        <f>IF(B16="","Not on HW sheet",IF(D16=0,"Match",IF(D16&gt;0,"HW higher","SMS higher")))</f>
        <v>Match</v>
      </c>
      <c r="F16" s="9"/>
    </row>
    <row r="17" spans="1:6" x14ac:dyDescent="0.3">
      <c r="A17" s="12" t="s">
        <v>20</v>
      </c>
      <c r="B17" s="13">
        <f>SUM(B5:B16)</f>
        <v>766523</v>
      </c>
      <c r="C17" s="13">
        <f>SUM(C5:C16)</f>
        <v>765528</v>
      </c>
      <c r="D17" s="13">
        <f>B17-C17</f>
        <v>995</v>
      </c>
      <c r="E17" s="14"/>
      <c r="F17" s="13">
        <f>SUM(F5:F16)</f>
        <v>360</v>
      </c>
    </row>
    <row r="18" spans="1:6" x14ac:dyDescent="0.3">
      <c r="A18" s="12" t="s">
        <v>21</v>
      </c>
      <c r="B18" s="13">
        <f>SUM(B5:B15)</f>
        <v>707993</v>
      </c>
      <c r="C18" s="13">
        <f>SUM(C5:C15)</f>
        <v>706998</v>
      </c>
      <c r="D18" s="13">
        <f>B18-C18</f>
        <v>995</v>
      </c>
    </row>
    <row r="20" spans="1:6" x14ac:dyDescent="0.3">
      <c r="A20" s="15" t="s">
        <v>22</v>
      </c>
    </row>
    <row r="21" spans="1:6" x14ac:dyDescent="0.3">
      <c r="A21" s="16" t="s">
        <v>23</v>
      </c>
    </row>
    <row r="22" spans="1:6" x14ac:dyDescent="0.3">
      <c r="A22" s="16" t="s">
        <v>24</v>
      </c>
    </row>
    <row r="23" spans="1:6" x14ac:dyDescent="0.3">
      <c r="A23" s="16" t="s">
        <v>25</v>
      </c>
    </row>
    <row r="24" spans="1:6" x14ac:dyDescent="0.3">
      <c r="A24" s="16" t="s">
        <v>26</v>
      </c>
    </row>
    <row r="25" spans="1:6" x14ac:dyDescent="0.3">
      <c r="A25" s="16" t="s">
        <v>27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showGridLines="0" zoomScaleNormal="100" workbookViewId="0">
      <pane ySplit="4" topLeftCell="A5" activePane="bottomLeft" state="frozen"/>
      <selection pane="bottomLeft" activeCell="C9" sqref="C9"/>
    </sheetView>
  </sheetViews>
  <sheetFormatPr defaultColWidth="8.6640625" defaultRowHeight="14.4" x14ac:dyDescent="0.3"/>
  <cols>
    <col min="1" max="1" width="12" customWidth="1"/>
    <col min="2" max="2" width="18" customWidth="1"/>
    <col min="3" max="3" width="30" customWidth="1"/>
    <col min="4" max="4" width="16" customWidth="1"/>
    <col min="5" max="5" width="15" customWidth="1"/>
    <col min="6" max="6" width="44" customWidth="1"/>
  </cols>
  <sheetData>
    <row r="1" spans="1:6" ht="16.8" x14ac:dyDescent="0.3">
      <c r="A1" s="1" t="s">
        <v>28</v>
      </c>
    </row>
    <row r="2" spans="1:6" x14ac:dyDescent="0.3">
      <c r="A2" s="2" t="s">
        <v>29</v>
      </c>
    </row>
    <row r="4" spans="1:6" x14ac:dyDescent="0.3">
      <c r="A4" s="3" t="s">
        <v>2</v>
      </c>
      <c r="B4" s="3" t="s">
        <v>3</v>
      </c>
      <c r="C4" s="3" t="s">
        <v>30</v>
      </c>
      <c r="D4" s="3" t="s">
        <v>4</v>
      </c>
      <c r="E4" s="3" t="s">
        <v>5</v>
      </c>
      <c r="F4" s="3" t="s">
        <v>6</v>
      </c>
    </row>
    <row r="5" spans="1:6" x14ac:dyDescent="0.3">
      <c r="A5" s="4" t="s">
        <v>9</v>
      </c>
      <c r="B5" s="5">
        <v>35000</v>
      </c>
      <c r="C5" s="17"/>
      <c r="D5" s="5">
        <v>35000</v>
      </c>
      <c r="E5" s="6">
        <f t="shared" ref="E5:E16" si="0">B5-D5</f>
        <v>0</v>
      </c>
      <c r="F5" s="18" t="s">
        <v>31</v>
      </c>
    </row>
    <row r="6" spans="1:6" x14ac:dyDescent="0.3">
      <c r="A6" s="4" t="s">
        <v>32</v>
      </c>
      <c r="B6" s="5">
        <v>12000</v>
      </c>
      <c r="C6" s="17"/>
      <c r="D6" s="5">
        <v>12000</v>
      </c>
      <c r="E6" s="6">
        <f t="shared" si="0"/>
        <v>0</v>
      </c>
      <c r="F6" s="18" t="s">
        <v>31</v>
      </c>
    </row>
    <row r="7" spans="1:6" x14ac:dyDescent="0.3">
      <c r="A7" s="4" t="s">
        <v>11</v>
      </c>
      <c r="B7" s="5">
        <v>75000</v>
      </c>
      <c r="C7" s="17"/>
      <c r="D7" s="5">
        <v>75000</v>
      </c>
      <c r="E7" s="6">
        <f t="shared" si="0"/>
        <v>0</v>
      </c>
      <c r="F7" s="18"/>
    </row>
    <row r="8" spans="1:6" x14ac:dyDescent="0.3">
      <c r="A8" s="4" t="s">
        <v>12</v>
      </c>
      <c r="B8" s="5">
        <v>60000</v>
      </c>
      <c r="C8" s="17"/>
      <c r="D8" s="5">
        <v>60000</v>
      </c>
      <c r="E8" s="6">
        <f t="shared" si="0"/>
        <v>0</v>
      </c>
      <c r="F8" s="18"/>
    </row>
    <row r="9" spans="1:6" x14ac:dyDescent="0.3">
      <c r="A9" s="8" t="s">
        <v>13</v>
      </c>
      <c r="B9" s="9">
        <v>75000</v>
      </c>
      <c r="C9" s="19" t="s">
        <v>33</v>
      </c>
      <c r="D9" s="9">
        <v>75000</v>
      </c>
      <c r="E9" s="10">
        <f t="shared" si="0"/>
        <v>0</v>
      </c>
      <c r="F9" s="20" t="s">
        <v>34</v>
      </c>
    </row>
    <row r="10" spans="1:6" x14ac:dyDescent="0.3">
      <c r="A10" s="4" t="s">
        <v>14</v>
      </c>
      <c r="B10" s="5">
        <v>72000</v>
      </c>
      <c r="C10" s="17" t="s">
        <v>35</v>
      </c>
      <c r="D10" s="5">
        <v>72000</v>
      </c>
      <c r="E10" s="6">
        <f t="shared" si="0"/>
        <v>0</v>
      </c>
      <c r="F10" s="18" t="s">
        <v>36</v>
      </c>
    </row>
    <row r="11" spans="1:6" x14ac:dyDescent="0.3">
      <c r="A11" s="4" t="s">
        <v>16</v>
      </c>
      <c r="B11" s="5">
        <v>102000</v>
      </c>
      <c r="C11" s="17" t="s">
        <v>37</v>
      </c>
      <c r="D11" s="5">
        <v>102000</v>
      </c>
      <c r="E11" s="6">
        <f t="shared" si="0"/>
        <v>0</v>
      </c>
      <c r="F11" s="18"/>
    </row>
    <row r="12" spans="1:6" x14ac:dyDescent="0.3">
      <c r="A12" s="4" t="s">
        <v>17</v>
      </c>
      <c r="B12" s="5">
        <v>32000</v>
      </c>
      <c r="C12" s="17"/>
      <c r="D12" s="5">
        <v>32000</v>
      </c>
      <c r="E12" s="6">
        <f t="shared" si="0"/>
        <v>0</v>
      </c>
      <c r="F12" s="18"/>
    </row>
    <row r="13" spans="1:6" x14ac:dyDescent="0.3">
      <c r="A13" s="4" t="s">
        <v>18</v>
      </c>
      <c r="B13" s="5">
        <v>74000</v>
      </c>
      <c r="C13" s="17" t="s">
        <v>38</v>
      </c>
      <c r="D13" s="5">
        <v>74000</v>
      </c>
      <c r="E13" s="6">
        <f t="shared" si="0"/>
        <v>0</v>
      </c>
      <c r="F13" s="18"/>
    </row>
    <row r="14" spans="1:6" x14ac:dyDescent="0.3">
      <c r="A14" s="8" t="s">
        <v>19</v>
      </c>
      <c r="B14" s="9">
        <v>62000</v>
      </c>
      <c r="C14" s="19" t="s">
        <v>33</v>
      </c>
      <c r="D14" s="9">
        <v>62000</v>
      </c>
      <c r="E14" s="10">
        <f t="shared" si="0"/>
        <v>0</v>
      </c>
      <c r="F14" s="20" t="s">
        <v>39</v>
      </c>
    </row>
    <row r="15" spans="1:6" x14ac:dyDescent="0.3">
      <c r="A15" s="8" t="s">
        <v>40</v>
      </c>
      <c r="B15" s="9">
        <v>30000</v>
      </c>
      <c r="C15" s="19" t="s">
        <v>33</v>
      </c>
      <c r="D15" s="9">
        <v>30000</v>
      </c>
      <c r="E15" s="10">
        <f t="shared" si="0"/>
        <v>0</v>
      </c>
      <c r="F15" s="20" t="s">
        <v>39</v>
      </c>
    </row>
    <row r="16" spans="1:6" x14ac:dyDescent="0.3">
      <c r="A16" s="12" t="s">
        <v>41</v>
      </c>
      <c r="B16" s="13">
        <f>SUM(B5:B15)</f>
        <v>629000</v>
      </c>
      <c r="C16" s="14"/>
      <c r="D16" s="13">
        <f>SUM(D5:D15)</f>
        <v>629000</v>
      </c>
      <c r="E16" s="13">
        <f t="shared" si="0"/>
        <v>0</v>
      </c>
      <c r="F16" s="14"/>
    </row>
    <row r="17" spans="1:6" x14ac:dyDescent="0.3">
      <c r="A17" s="12" t="s">
        <v>42</v>
      </c>
      <c r="B17" s="13">
        <f>B16-B5-B6</f>
        <v>582000</v>
      </c>
      <c r="C17" s="21" t="s">
        <v>43</v>
      </c>
      <c r="D17" s="14"/>
      <c r="E17" s="14"/>
      <c r="F17" s="22" t="s">
        <v>44</v>
      </c>
    </row>
    <row r="19" spans="1:6" x14ac:dyDescent="0.3">
      <c r="A19" s="15" t="s">
        <v>22</v>
      </c>
    </row>
    <row r="20" spans="1:6" x14ac:dyDescent="0.3">
      <c r="A20" s="16" t="s">
        <v>45</v>
      </c>
    </row>
    <row r="21" spans="1:6" x14ac:dyDescent="0.3">
      <c r="A21" s="16" t="s">
        <v>46</v>
      </c>
    </row>
    <row r="22" spans="1:6" x14ac:dyDescent="0.3">
      <c r="A22" s="16" t="s">
        <v>47</v>
      </c>
    </row>
    <row r="23" spans="1:6" x14ac:dyDescent="0.3">
      <c r="A23" s="16" t="s">
        <v>48</v>
      </c>
    </row>
    <row r="24" spans="1:6" x14ac:dyDescent="0.3">
      <c r="A24" s="16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showGridLines="0" tabSelected="1" zoomScaleNormal="100" workbookViewId="0">
      <selection activeCell="E16" sqref="E16"/>
    </sheetView>
  </sheetViews>
  <sheetFormatPr defaultColWidth="8.6640625" defaultRowHeight="14.4" x14ac:dyDescent="0.3"/>
  <cols>
    <col min="1" max="1" width="52" customWidth="1"/>
    <col min="2" max="4" width="22" customWidth="1"/>
    <col min="5" max="5" width="34" customWidth="1"/>
  </cols>
  <sheetData>
    <row r="1" spans="1:5" ht="16.8" x14ac:dyDescent="0.3">
      <c r="A1" s="1" t="s">
        <v>50</v>
      </c>
    </row>
    <row r="2" spans="1:5" x14ac:dyDescent="0.3">
      <c r="A2" s="2" t="s">
        <v>51</v>
      </c>
    </row>
    <row r="4" spans="1:5" ht="31.5" customHeight="1" x14ac:dyDescent="0.3">
      <c r="A4" s="23"/>
      <c r="B4" s="23" t="s">
        <v>52</v>
      </c>
      <c r="C4" s="23" t="s">
        <v>53</v>
      </c>
      <c r="D4" s="23" t="s">
        <v>54</v>
      </c>
    </row>
    <row r="5" spans="1:5" x14ac:dyDescent="0.3">
      <c r="A5" s="7" t="s">
        <v>55</v>
      </c>
      <c r="B5" s="24">
        <f>Deliveries!B17</f>
        <v>766523</v>
      </c>
      <c r="C5" s="24">
        <f>Deliveries!B17</f>
        <v>766523</v>
      </c>
      <c r="D5" s="24">
        <f>Deliveries!C17</f>
        <v>765528</v>
      </c>
    </row>
    <row r="6" spans="1:5" x14ac:dyDescent="0.3">
      <c r="A6" s="7" t="s">
        <v>56</v>
      </c>
      <c r="B6" s="24">
        <f>Payments!B17</f>
        <v>582000</v>
      </c>
      <c r="C6" s="24">
        <f>Payments!B16</f>
        <v>629000</v>
      </c>
      <c r="D6" s="24">
        <f>Payments!D16</f>
        <v>629000</v>
      </c>
    </row>
    <row r="7" spans="1:5" x14ac:dyDescent="0.3">
      <c r="A7" s="12" t="s">
        <v>57</v>
      </c>
      <c r="B7" s="25">
        <f>B5-B6</f>
        <v>184523</v>
      </c>
      <c r="C7" s="25">
        <f>C5-C6</f>
        <v>137523</v>
      </c>
      <c r="D7" s="25">
        <f>D5-D6</f>
        <v>136528</v>
      </c>
    </row>
    <row r="8" spans="1:5" x14ac:dyDescent="0.3">
      <c r="A8" s="7" t="s">
        <v>58</v>
      </c>
      <c r="B8" s="5">
        <v>7400</v>
      </c>
      <c r="C8" s="5">
        <v>7400</v>
      </c>
      <c r="D8" s="5">
        <v>7400</v>
      </c>
      <c r="E8" s="26" t="s">
        <v>59</v>
      </c>
    </row>
    <row r="9" spans="1:5" x14ac:dyDescent="0.3">
      <c r="A9" s="12" t="s">
        <v>60</v>
      </c>
      <c r="B9" s="27">
        <f>B7-B8</f>
        <v>177123</v>
      </c>
      <c r="C9" s="27">
        <f>C7-C8</f>
        <v>130123</v>
      </c>
      <c r="D9" s="27">
        <f>D7-D8</f>
        <v>129128</v>
      </c>
    </row>
    <row r="11" spans="1:5" x14ac:dyDescent="0.3">
      <c r="A11" s="15" t="s">
        <v>61</v>
      </c>
    </row>
    <row r="12" spans="1:5" x14ac:dyDescent="0.3">
      <c r="A12" s="15" t="s">
        <v>62</v>
      </c>
      <c r="B12" s="16" t="s">
        <v>63</v>
      </c>
    </row>
    <row r="13" spans="1:5" x14ac:dyDescent="0.3">
      <c r="A13" s="15" t="s">
        <v>64</v>
      </c>
      <c r="B13" s="16" t="s">
        <v>65</v>
      </c>
    </row>
    <row r="14" spans="1:5" x14ac:dyDescent="0.3">
      <c r="A14" s="15" t="s">
        <v>66</v>
      </c>
      <c r="B14" s="16" t="s">
        <v>67</v>
      </c>
    </row>
    <row r="16" spans="1:5" x14ac:dyDescent="0.3">
      <c r="A16" s="15" t="s">
        <v>68</v>
      </c>
    </row>
    <row r="17" spans="1:4" x14ac:dyDescent="0.3">
      <c r="A17" s="28" t="s">
        <v>69</v>
      </c>
      <c r="B17" s="24">
        <f>Payments!B5+Payments!B6</f>
        <v>47000</v>
      </c>
    </row>
    <row r="18" spans="1:4" x14ac:dyDescent="0.3">
      <c r="A18" s="28" t="s">
        <v>70</v>
      </c>
      <c r="B18" s="24">
        <f>Payments!D9</f>
        <v>75000</v>
      </c>
    </row>
    <row r="19" spans="1:4" x14ac:dyDescent="0.3">
      <c r="A19" s="28" t="s">
        <v>71</v>
      </c>
      <c r="B19" s="24">
        <f>Payments!D14+Payments!D15</f>
        <v>92000</v>
      </c>
    </row>
    <row r="20" spans="1:4" x14ac:dyDescent="0.3">
      <c r="A20" s="28" t="s">
        <v>72</v>
      </c>
      <c r="B20" s="24">
        <f>-Deliveries!C16</f>
        <v>-58530</v>
      </c>
    </row>
    <row r="21" spans="1:4" x14ac:dyDescent="0.3">
      <c r="A21" s="28" t="s">
        <v>73</v>
      </c>
      <c r="B21" s="24">
        <f>Deliveries!D18</f>
        <v>995</v>
      </c>
    </row>
    <row r="22" spans="1:4" x14ac:dyDescent="0.3">
      <c r="A22" s="15" t="s">
        <v>74</v>
      </c>
      <c r="B22" s="13">
        <f>SUM(B17:B21)</f>
        <v>156465</v>
      </c>
      <c r="C22" s="29">
        <f>B9-D9</f>
        <v>47995</v>
      </c>
      <c r="D22" s="26" t="s">
        <v>75</v>
      </c>
    </row>
    <row r="25" spans="1:4" x14ac:dyDescent="0.3">
      <c r="A25" s="15" t="s">
        <v>76</v>
      </c>
    </row>
    <row r="26" spans="1:4" x14ac:dyDescent="0.3">
      <c r="A26" s="16" t="s">
        <v>77</v>
      </c>
    </row>
    <row r="27" spans="1:4" x14ac:dyDescent="0.3">
      <c r="A27" s="16" t="s">
        <v>78</v>
      </c>
    </row>
    <row r="28" spans="1:4" x14ac:dyDescent="0.3">
      <c r="A28" s="16" t="s">
        <v>79</v>
      </c>
    </row>
    <row r="29" spans="1:4" x14ac:dyDescent="0.3">
      <c r="A29" s="16" t="s">
        <v>80</v>
      </c>
    </row>
    <row r="30" spans="1:4" x14ac:dyDescent="0.3">
      <c r="A30" s="16" t="s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025D-AECF-4A4E-AD11-48AAF8938298}">
  <dimension ref="A1"/>
  <sheetViews>
    <sheetView workbookViewId="0">
      <selection activeCell="C33" sqref="C33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showGridLines="0" zoomScaleNormal="100" workbookViewId="0"/>
  </sheetViews>
  <sheetFormatPr defaultColWidth="8.6640625" defaultRowHeight="14.4" x14ac:dyDescent="0.3"/>
  <cols>
    <col min="1" max="1" width="22" customWidth="1"/>
    <col min="2" max="2" width="88" customWidth="1"/>
  </cols>
  <sheetData>
    <row r="1" spans="1:2" ht="16.8" x14ac:dyDescent="0.3">
      <c r="A1" s="1" t="s">
        <v>82</v>
      </c>
    </row>
    <row r="3" spans="1:2" x14ac:dyDescent="0.3">
      <c r="A3" s="28"/>
      <c r="B3" s="28"/>
    </row>
    <row r="4" spans="1:2" x14ac:dyDescent="0.3">
      <c r="A4" s="15" t="s">
        <v>83</v>
      </c>
      <c r="B4" s="28" t="s">
        <v>84</v>
      </c>
    </row>
    <row r="5" spans="1:2" x14ac:dyDescent="0.3">
      <c r="A5" s="15" t="s">
        <v>85</v>
      </c>
      <c r="B5" s="28" t="s">
        <v>86</v>
      </c>
    </row>
    <row r="6" spans="1:2" x14ac:dyDescent="0.3">
      <c r="A6" s="15" t="s">
        <v>87</v>
      </c>
      <c r="B6" s="28" t="s">
        <v>88</v>
      </c>
    </row>
    <row r="7" spans="1:2" x14ac:dyDescent="0.3">
      <c r="A7" s="15" t="s">
        <v>89</v>
      </c>
      <c r="B7" s="28" t="s">
        <v>90</v>
      </c>
    </row>
    <row r="8" spans="1:2" x14ac:dyDescent="0.3">
      <c r="A8" s="15" t="s">
        <v>91</v>
      </c>
      <c r="B8" s="28" t="s">
        <v>92</v>
      </c>
    </row>
    <row r="9" spans="1:2" x14ac:dyDescent="0.3">
      <c r="A9" s="28"/>
      <c r="B9" s="28"/>
    </row>
    <row r="10" spans="1:2" x14ac:dyDescent="0.3">
      <c r="A10" s="15" t="s">
        <v>93</v>
      </c>
      <c r="B10" s="28"/>
    </row>
    <row r="11" spans="1:2" x14ac:dyDescent="0.3">
      <c r="A11" s="15" t="s">
        <v>94</v>
      </c>
      <c r="B11" s="28" t="s">
        <v>95</v>
      </c>
    </row>
    <row r="12" spans="1:2" x14ac:dyDescent="0.3">
      <c r="A12" s="15" t="s">
        <v>96</v>
      </c>
      <c r="B12" s="28" t="s">
        <v>97</v>
      </c>
    </row>
    <row r="13" spans="1:2" x14ac:dyDescent="0.3">
      <c r="A13" s="28"/>
      <c r="B13" s="28"/>
    </row>
    <row r="14" spans="1:2" x14ac:dyDescent="0.3">
      <c r="A14" s="15" t="s">
        <v>98</v>
      </c>
      <c r="B14" s="28"/>
    </row>
    <row r="15" spans="1:2" x14ac:dyDescent="0.3">
      <c r="A15" s="28"/>
      <c r="B15" s="28" t="s">
        <v>99</v>
      </c>
    </row>
    <row r="16" spans="1:2" x14ac:dyDescent="0.3">
      <c r="A16" s="28"/>
      <c r="B16" s="28" t="s"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Deliveries</vt:lpstr>
      <vt:lpstr>Payments</vt:lpstr>
      <vt:lpstr>Reconciliation</vt:lpstr>
      <vt:lpstr>Sheet1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Glomer Pimentel</cp:lastModifiedBy>
  <cp:revision>0</cp:revision>
  <dcterms:created xsi:type="dcterms:W3CDTF">2026-08-15T05:05:49Z</dcterms:created>
  <dcterms:modified xsi:type="dcterms:W3CDTF">2026-08-19T00:48:57Z</dcterms:modified>
  <dc:language>en-US</dc:language>
</cp:coreProperties>
</file>