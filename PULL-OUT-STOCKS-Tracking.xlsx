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\Katherine one drive\OneDrive - Simply Mobilizing\Desktop\Katherine's Files\PERSONAL\Elishen\"/>
    </mc:Choice>
  </mc:AlternateContent>
  <xr:revisionPtr revIDLastSave="0" documentId="13_ncr:1_{6289A2F1-A800-4B84-8451-DC08AFB6D5C3}" xr6:coauthVersionLast="47" xr6:coauthVersionMax="47" xr10:uidLastSave="{00000000-0000-0000-0000-000000000000}"/>
  <bookViews>
    <workbookView xWindow="-108" yWindow="-108" windowWidth="23256" windowHeight="12456" xr2:uid="{E0E71854-7360-4CD5-B138-F92249ADC1DE}"/>
  </bookViews>
  <sheets>
    <sheet name="P.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4" i="1" l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</author>
  </authors>
  <commentList>
    <comment ref="BJ3" authorId="0" shapeId="0" xr:uid="{F7E2A205-3CE8-467A-AD65-F676DFE4EE79}">
      <text>
        <r>
          <rPr>
            <b/>
            <sz val="9"/>
            <color indexed="81"/>
            <rFont val="Tahoma"/>
            <family val="2"/>
          </rPr>
          <t>10 box (12pcs each)</t>
        </r>
      </text>
    </comment>
    <comment ref="BM3" authorId="0" shapeId="0" xr:uid="{7568BCBA-2EB9-42B8-B998-967FB84BCAAF}">
      <text>
        <r>
          <rPr>
            <b/>
            <sz val="9"/>
            <color indexed="81"/>
            <rFont val="Tahoma"/>
            <family val="2"/>
          </rPr>
          <t xml:space="preserve">120 bots
</t>
        </r>
      </text>
    </comment>
    <comment ref="BN3" authorId="0" shapeId="0" xr:uid="{9EFA8391-3901-445E-8568-3B898597265E}">
      <text>
        <r>
          <rPr>
            <b/>
            <sz val="9"/>
            <color indexed="81"/>
            <rFont val="Tahoma"/>
            <family val="2"/>
          </rPr>
          <t>4000 pcs</t>
        </r>
      </text>
    </comment>
    <comment ref="AT9" authorId="0" shapeId="0" xr:uid="{0489C344-8CF2-4A66-93D1-904D38EFDECB}">
      <text>
        <r>
          <rPr>
            <b/>
            <sz val="9"/>
            <color indexed="81"/>
            <rFont val="Tahoma"/>
            <family val="2"/>
          </rPr>
          <t>5 cs</t>
        </r>
      </text>
    </comment>
    <comment ref="AU9" authorId="0" shapeId="0" xr:uid="{4D680D26-DF08-48CA-A0F3-24C006CF7E27}">
      <text>
        <r>
          <rPr>
            <b/>
            <sz val="9"/>
            <color indexed="81"/>
            <rFont val="Tahoma"/>
            <family val="2"/>
          </rPr>
          <t>5 car</t>
        </r>
      </text>
    </comment>
    <comment ref="AV9" authorId="0" shapeId="0" xr:uid="{F938B11B-979B-4E44-87DE-908F08E2DD1C}">
      <text>
        <r>
          <rPr>
            <sz val="9"/>
            <color indexed="81"/>
            <rFont val="Tahoma"/>
            <family val="2"/>
          </rPr>
          <t xml:space="preserve">15 boxes
</t>
        </r>
      </text>
    </comment>
    <comment ref="AW9" authorId="0" shapeId="0" xr:uid="{1500697F-B969-4BA5-8D27-A7599CFFF63F}">
      <text>
        <r>
          <rPr>
            <b/>
            <sz val="9"/>
            <color indexed="81"/>
            <rFont val="Tahoma"/>
            <family val="2"/>
          </rPr>
          <t>15 boxes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9" authorId="0" shapeId="0" xr:uid="{8B683E10-B000-468F-A492-9AF9909A7394}">
      <text>
        <r>
          <rPr>
            <b/>
            <sz val="9"/>
            <color indexed="81"/>
            <rFont val="Tahoma"/>
            <charset val="1"/>
          </rPr>
          <t>unserved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<sst xmlns="http://schemas.openxmlformats.org/spreadsheetml/2006/main" count="77" uniqueCount="76">
  <si>
    <t xml:space="preserve">DATE </t>
  </si>
  <si>
    <t>SUP Booster</t>
  </si>
  <si>
    <t>SUP Starter</t>
  </si>
  <si>
    <t>SUP Grower</t>
  </si>
  <si>
    <t>SUP Finisher</t>
  </si>
  <si>
    <t>SUP Breeder</t>
  </si>
  <si>
    <t>SUP Lactating</t>
  </si>
  <si>
    <t>UNO Prestarter</t>
  </si>
  <si>
    <t>SUP Prestarter</t>
  </si>
  <si>
    <t>UNO Starter</t>
  </si>
  <si>
    <t>UNO Grower</t>
  </si>
  <si>
    <t>UNO Finisher</t>
  </si>
  <si>
    <t>UNO Breeder</t>
  </si>
  <si>
    <t>UNO Lactating</t>
  </si>
  <si>
    <t>SG Starter</t>
  </si>
  <si>
    <t>SG Grower</t>
  </si>
  <si>
    <t>SG Finisher</t>
  </si>
  <si>
    <t>SG Breeder</t>
  </si>
  <si>
    <t>SG Lactating</t>
  </si>
  <si>
    <t>SI 1 (50kg)</t>
  </si>
  <si>
    <t>SI 2 (50kg)</t>
  </si>
  <si>
    <t>SI 3 (50kg)</t>
  </si>
  <si>
    <t>SI 2.1(50kg)</t>
  </si>
  <si>
    <t>SI 4 (50kg)</t>
  </si>
  <si>
    <t>SI RM(50kg)</t>
  </si>
  <si>
    <t>SI RM(25kg)</t>
  </si>
  <si>
    <t>SI 1 case</t>
  </si>
  <si>
    <t>SI 2 case</t>
  </si>
  <si>
    <t>SI 2.1 case</t>
  </si>
  <si>
    <t>SI 4 case</t>
  </si>
  <si>
    <t>SI RM case</t>
  </si>
  <si>
    <t>SI 23 case</t>
  </si>
  <si>
    <t>SI 32 case</t>
  </si>
  <si>
    <t>SI P Con</t>
  </si>
  <si>
    <t>SI S Con</t>
  </si>
  <si>
    <t>TB Pup 20kg</t>
  </si>
  <si>
    <t>TB Adult (20kg)</t>
  </si>
  <si>
    <t>TB A. Mini (20kg)</t>
  </si>
  <si>
    <t>TB Cat (20kg)</t>
  </si>
  <si>
    <t>TB A. Mini (5kg)</t>
  </si>
  <si>
    <t>TB Adult (5kg)</t>
  </si>
  <si>
    <t>TB Cat (5kg)</t>
  </si>
  <si>
    <t>CL Lav</t>
  </si>
  <si>
    <t>CL Cof</t>
  </si>
  <si>
    <t>HOG LINES</t>
  </si>
  <si>
    <t>GAME FOWL</t>
  </si>
  <si>
    <t>PET LINES</t>
  </si>
  <si>
    <t>Cocci</t>
  </si>
  <si>
    <t>Levo</t>
  </si>
  <si>
    <t>Spectrum</t>
  </si>
  <si>
    <t>Spect Plus</t>
  </si>
  <si>
    <t>RBK powder</t>
  </si>
  <si>
    <t>Wormbus</t>
  </si>
  <si>
    <t>RB LA</t>
  </si>
  <si>
    <t>RB pen (1ds)</t>
  </si>
  <si>
    <t>RB pen (10ds)</t>
  </si>
  <si>
    <t>IronD</t>
  </si>
  <si>
    <t>RB comject</t>
  </si>
  <si>
    <t>Tripulac</t>
  </si>
  <si>
    <t>WheatGerm</t>
  </si>
  <si>
    <t>TopB (120)</t>
  </si>
  <si>
    <t>TopB (60)</t>
  </si>
  <si>
    <t>Shampo (300)</t>
  </si>
  <si>
    <t>ROBICHEM</t>
  </si>
  <si>
    <t>Sham Sachet</t>
  </si>
  <si>
    <t>AMOUNT</t>
  </si>
  <si>
    <t>Chunks RBL</t>
  </si>
  <si>
    <t>Chunks CLS</t>
  </si>
  <si>
    <t>Treats Tuna</t>
  </si>
  <si>
    <t>Treats Beef</t>
  </si>
  <si>
    <t>JF 21-May-2026</t>
  </si>
  <si>
    <t>TOTAL</t>
  </si>
  <si>
    <t>UNSERVED</t>
  </si>
  <si>
    <t>STOCKS</t>
  </si>
  <si>
    <t>PURCHASED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</si>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</sst>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5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 applyAlignment="1">
      <alignment horizontal="center"/>
    </xf>
    <xf numFmtId="0" fontId="0" fillId="0" borderId="1" xfId="0" applyBorder="1"/>
    <xf numFmtId="0" fontId="0" fillId="6" borderId="0" xfId="0" applyFill="1"/>
    <xf numFmtId="15" fontId="0" fillId="0" borderId="0" xfId="0" applyNumberFormat="1"/>
    <xf numFmtId="0" fontId="0" fillId="0" borderId="1" xfId="0" applyBorder="1" applyAlignment="1">
      <alignment horizontal="center"/>
    </xf>
    <xf numFmtId="4" fontId="0" fillId="0" borderId="0" xfId="0" applyNumberFormat="1"/>
    <xf numFmtId="4" fontId="0" fillId="0" borderId="1" xfId="0" applyNumberFormat="1" applyBorder="1"/>
    <xf numFmtId="0" fontId="0" fillId="7" borderId="1" xfId="0" applyFill="1" applyBorder="1"/>
    <xf numFmtId="3" fontId="0" fillId="0" borderId="2" xfId="0" applyNumberFormat="1" applyBorder="1"/>
    <xf numFmtId="4" fontId="0" fillId="0" borderId="2" xfId="0" applyNumberFormat="1" applyBorder="1"/>
    <xf numFmtId="15" fontId="0" fillId="0" borderId="1" xfId="0" applyNumberFormat="1" applyBorder="1"/>
    <xf numFmtId="0" fontId="0" fillId="8" borderId="1" xfId="0" applyFill="1" applyBorder="1"/>
    <xf numFmtId="4" fontId="0" fillId="8" borderId="1" xfId="0" applyNumberFormat="1" applyFill="1" applyBorder="1"/>
    <xf numFmtId="0" fontId="0" fillId="8" borderId="0" xfId="0" applyFill="1"/>
    <xf numFmtId="15" fontId="3" fillId="0" borderId="0" xfId="0" applyNumberFormat="1" applyFont="1"/>
    <xf numFmtId="15" fontId="3" fillId="0" borderId="3" xfId="0" applyNumberFormat="1" applyFont="1" applyBorder="1"/>
    <xf numFmtId="0" fontId="3" fillId="0" borderId="1" xfId="0" applyFont="1" applyBorder="1"/>
    <xf numFmtId="0" fontId="3" fillId="0" borderId="0" xfId="0" applyFont="1"/>
    <xf numFmtId="15" fontId="6" fillId="0" borderId="0" xfId="0" applyNumberFormat="1" applyFont="1"/>
    <xf numFmtId="15" fontId="6" fillId="0" borderId="3" xfId="0" applyNumberFormat="1" applyFont="1" applyBorder="1"/>
    <xf numFmtId="0" fontId="6" fillId="0" borderId="1" xfId="0" applyFont="1" applyBorder="1"/>
    <xf numFmtId="0" fontId="6" fillId="0" borderId="0" xfId="0" applyFont="1"/>
    <xf numFmtId="15" fontId="7" fillId="0" borderId="0" xfId="0" applyNumberFormat="1" applyFont="1"/>
    <xf numFmtId="15" fontId="7" fillId="0" borderId="3" xfId="0" applyNumberFormat="1" applyFont="1" applyBorder="1"/>
    <xf numFmtId="0" fontId="7" fillId="0" borderId="1" xfId="0" applyFont="1" applyBorder="1"/>
    <xf numFmtId="0" fontId="7" fillId="0" borderId="0" xfId="0" applyFont="1"/>
    <xf numFmtId="15" fontId="3" fillId="9" borderId="0" xfId="0" applyNumberFormat="1" applyFont="1" applyFill="1"/>
    <xf numFmtId="15" fontId="3" fillId="9" borderId="3" xfId="0" applyNumberFormat="1" applyFont="1" applyFill="1" applyBorder="1"/>
    <xf numFmtId="0" fontId="3" fillId="9" borderId="1" xfId="0" applyFont="1" applyFill="1" applyBorder="1"/>
    <xf numFmtId="0" fontId="3" fillId="9" borderId="0" xfId="0" applyFont="1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B62E-E62C-45F8-90DA-B55C80F9201D}">
  <dimension ref="A1:BN20"/>
  <sheetViews>
    <sheetView tabSelected="1" workbookViewId="0">
      <pane xSplit="1" topLeftCell="B1" activePane="topRight" state="frozen"/>
      <selection pane="topRight" activeCell="A22" sqref="A22"/>
    </sheetView>
  </sheetViews>
  <sheetFormatPr defaultRowHeight="14.4" x14ac:dyDescent="0.3"/>
  <cols>
    <col min="1" max="1" width="14" bestFit="1" customWidth="1"/>
    <col min="2" max="2" width="13.33203125" customWidth="1"/>
    <col min="3" max="3" width="11.5546875" customWidth="1"/>
    <col min="4" max="4" width="12.88671875" customWidth="1"/>
    <col min="5" max="5" width="10.109375" customWidth="1"/>
    <col min="6" max="6" width="10.77734375" bestFit="1" customWidth="1"/>
    <col min="7" max="7" width="10.88671875" bestFit="1" customWidth="1"/>
    <col min="8" max="8" width="11.109375" bestFit="1" customWidth="1"/>
    <col min="9" max="9" width="12.109375" bestFit="1" customWidth="1"/>
    <col min="10" max="10" width="13.6640625" bestFit="1" customWidth="1"/>
    <col min="11" max="11" width="11" bestFit="1" customWidth="1"/>
    <col min="12" max="12" width="11.5546875" bestFit="1" customWidth="1"/>
    <col min="13" max="13" width="11.6640625" bestFit="1" customWidth="1"/>
    <col min="14" max="14" width="11.88671875" bestFit="1" customWidth="1"/>
    <col min="15" max="15" width="12.88671875" bestFit="1" customWidth="1"/>
    <col min="17" max="17" width="9.6640625" bestFit="1" customWidth="1"/>
    <col min="18" max="18" width="9.77734375" bestFit="1" customWidth="1"/>
    <col min="19" max="19" width="10" bestFit="1" customWidth="1"/>
    <col min="20" max="20" width="11" bestFit="1" customWidth="1"/>
    <col min="23" max="23" width="10.33203125" bestFit="1" customWidth="1"/>
    <col min="26" max="27" width="10.5546875" bestFit="1" customWidth="1"/>
    <col min="30" max="30" width="9.5546875" bestFit="1" customWidth="1"/>
    <col min="32" max="32" width="9.77734375" bestFit="1" customWidth="1"/>
    <col min="37" max="37" width="10.77734375" bestFit="1" customWidth="1"/>
    <col min="38" max="38" width="13.21875" bestFit="1" customWidth="1"/>
    <col min="39" max="39" width="14.6640625" bestFit="1" customWidth="1"/>
    <col min="40" max="40" width="11.6640625" bestFit="1" customWidth="1"/>
    <col min="41" max="41" width="10.44140625" bestFit="1" customWidth="1"/>
    <col min="42" max="42" width="13.6640625" bestFit="1" customWidth="1"/>
    <col min="43" max="43" width="12.109375" bestFit="1" customWidth="1"/>
    <col min="44" max="44" width="7" customWidth="1"/>
    <col min="45" max="45" width="6.6640625" customWidth="1"/>
    <col min="46" max="46" width="10.33203125" bestFit="1" customWidth="1"/>
    <col min="47" max="47" width="10.5546875" bestFit="1" customWidth="1"/>
    <col min="48" max="48" width="10.33203125" bestFit="1" customWidth="1"/>
    <col min="49" max="49" width="10.109375" bestFit="1" customWidth="1"/>
    <col min="50" max="50" width="7" customWidth="1"/>
    <col min="51" max="51" width="6.44140625" customWidth="1"/>
    <col min="54" max="54" width="10.88671875" bestFit="1" customWidth="1"/>
    <col min="56" max="56" width="5.88671875" customWidth="1"/>
    <col min="57" max="57" width="11" bestFit="1" customWidth="1"/>
    <col min="58" max="58" width="12" bestFit="1" customWidth="1"/>
    <col min="59" max="59" width="5.77734375" customWidth="1"/>
    <col min="60" max="60" width="10.21875" bestFit="1" customWidth="1"/>
    <col min="61" max="61" width="7.33203125" customWidth="1"/>
    <col min="62" max="62" width="17.21875" bestFit="1" customWidth="1"/>
    <col min="63" max="63" width="9.77734375" bestFit="1" customWidth="1"/>
    <col min="65" max="65" width="12.109375" bestFit="1" customWidth="1"/>
    <col min="66" max="66" width="11" customWidth="1"/>
  </cols>
  <sheetData>
    <row r="1" spans="1:66" x14ac:dyDescent="0.3">
      <c r="A1" s="3"/>
      <c r="B1" s="3"/>
      <c r="C1" s="31" t="s">
        <v>44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 t="s">
        <v>45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3" t="s">
        <v>46</v>
      </c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1"/>
      <c r="AX1" s="34" t="s">
        <v>63</v>
      </c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</row>
    <row r="2" spans="1:66" x14ac:dyDescent="0.3">
      <c r="A2" s="5" t="s">
        <v>0</v>
      </c>
      <c r="B2" s="5" t="s">
        <v>65</v>
      </c>
      <c r="C2" s="2" t="s">
        <v>1</v>
      </c>
      <c r="D2" s="2" t="s">
        <v>8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22</v>
      </c>
      <c r="X2" s="2" t="s">
        <v>21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41</v>
      </c>
      <c r="AP2" s="2" t="s">
        <v>39</v>
      </c>
      <c r="AQ2" s="2" t="s">
        <v>40</v>
      </c>
      <c r="AR2" s="2" t="s">
        <v>42</v>
      </c>
      <c r="AS2" s="2" t="s">
        <v>43</v>
      </c>
      <c r="AT2" s="2" t="s">
        <v>69</v>
      </c>
      <c r="AU2" s="2" t="s">
        <v>68</v>
      </c>
      <c r="AV2" s="2" t="s">
        <v>66</v>
      </c>
      <c r="AW2" s="2" t="s">
        <v>67</v>
      </c>
      <c r="AX2" s="2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  <c r="BF2" s="2" t="s">
        <v>55</v>
      </c>
      <c r="BG2" s="2" t="s">
        <v>56</v>
      </c>
      <c r="BH2" s="2" t="s">
        <v>57</v>
      </c>
      <c r="BI2" s="2" t="s">
        <v>58</v>
      </c>
      <c r="BJ2" s="2" t="s">
        <v>59</v>
      </c>
      <c r="BK2" s="2" t="s">
        <v>60</v>
      </c>
      <c r="BL2" s="2" t="s">
        <v>61</v>
      </c>
      <c r="BM2" s="2" t="s">
        <v>62</v>
      </c>
      <c r="BN2" s="2" t="s">
        <v>64</v>
      </c>
    </row>
    <row r="3" spans="1:66" x14ac:dyDescent="0.3">
      <c r="A3" s="11">
        <v>46152</v>
      </c>
      <c r="B3" s="6">
        <v>1431545.35</v>
      </c>
      <c r="C3" s="2">
        <v>10</v>
      </c>
      <c r="D3" s="2"/>
      <c r="E3" s="2"/>
      <c r="F3" s="2"/>
      <c r="G3" s="2"/>
      <c r="H3" s="2"/>
      <c r="I3" s="2"/>
      <c r="J3" s="2">
        <v>10</v>
      </c>
      <c r="K3" s="2">
        <v>20</v>
      </c>
      <c r="L3" s="2">
        <v>40</v>
      </c>
      <c r="M3" s="2">
        <v>20</v>
      </c>
      <c r="N3" s="2">
        <v>20</v>
      </c>
      <c r="O3" s="2">
        <v>20</v>
      </c>
      <c r="P3" s="2"/>
      <c r="Q3" s="2"/>
      <c r="R3" s="2"/>
      <c r="S3" s="2">
        <v>20</v>
      </c>
      <c r="T3" s="2"/>
      <c r="U3" s="2">
        <v>10</v>
      </c>
      <c r="V3" s="2">
        <v>20</v>
      </c>
      <c r="W3" s="2">
        <v>45</v>
      </c>
      <c r="X3" s="2">
        <v>40</v>
      </c>
      <c r="Y3" s="2">
        <v>10</v>
      </c>
      <c r="Z3" s="2">
        <v>20</v>
      </c>
      <c r="AA3" s="2">
        <v>10</v>
      </c>
      <c r="AB3" s="2">
        <v>10</v>
      </c>
      <c r="AC3" s="2">
        <v>10</v>
      </c>
      <c r="AD3" s="2">
        <v>20</v>
      </c>
      <c r="AE3" s="2">
        <v>5</v>
      </c>
      <c r="AF3" s="2">
        <v>20</v>
      </c>
      <c r="AG3" s="2">
        <v>10</v>
      </c>
      <c r="AH3" s="2">
        <v>5</v>
      </c>
      <c r="AI3" s="2">
        <v>10</v>
      </c>
      <c r="AJ3" s="2">
        <v>10</v>
      </c>
      <c r="AK3" s="2">
        <v>30</v>
      </c>
      <c r="AL3" s="2">
        <v>100</v>
      </c>
      <c r="AM3" s="2">
        <v>20</v>
      </c>
      <c r="AN3" s="2">
        <v>50</v>
      </c>
      <c r="AO3" s="2">
        <v>40</v>
      </c>
      <c r="AP3" s="2">
        <v>40</v>
      </c>
      <c r="AQ3" s="2">
        <v>40</v>
      </c>
      <c r="AR3" s="2">
        <v>100</v>
      </c>
      <c r="AS3" s="2">
        <v>60</v>
      </c>
      <c r="AT3" s="2"/>
      <c r="AU3" s="2"/>
      <c r="AV3" s="2"/>
      <c r="AW3" s="2"/>
      <c r="AX3" s="2">
        <v>720</v>
      </c>
      <c r="AY3" s="2">
        <v>720</v>
      </c>
      <c r="AZ3" s="2">
        <v>1920</v>
      </c>
      <c r="BA3" s="2">
        <v>1920</v>
      </c>
      <c r="BB3" s="2">
        <v>1920</v>
      </c>
      <c r="BC3" s="2">
        <v>720</v>
      </c>
      <c r="BD3" s="2">
        <v>120</v>
      </c>
      <c r="BE3" s="2">
        <v>480</v>
      </c>
      <c r="BF3" s="2">
        <v>120</v>
      </c>
      <c r="BG3" s="2">
        <v>120</v>
      </c>
      <c r="BH3" s="2">
        <v>120</v>
      </c>
      <c r="BI3" s="2">
        <v>120</v>
      </c>
      <c r="BJ3" s="2">
        <v>10</v>
      </c>
      <c r="BK3" s="2">
        <v>20</v>
      </c>
      <c r="BL3" s="2">
        <v>20</v>
      </c>
      <c r="BM3" s="2">
        <v>120</v>
      </c>
      <c r="BN3" s="2">
        <v>4000</v>
      </c>
    </row>
    <row r="4" spans="1:66" x14ac:dyDescent="0.3">
      <c r="A4" s="11">
        <v>46168</v>
      </c>
      <c r="B4" s="9">
        <v>541500</v>
      </c>
      <c r="C4" s="2"/>
      <c r="D4" s="2"/>
      <c r="E4" s="2"/>
      <c r="F4" s="2"/>
      <c r="G4" s="2"/>
      <c r="H4" s="2"/>
      <c r="I4" s="2">
        <v>20</v>
      </c>
      <c r="J4" s="2">
        <v>40</v>
      </c>
      <c r="K4" s="2">
        <v>30</v>
      </c>
      <c r="L4" s="2">
        <v>70</v>
      </c>
      <c r="M4" s="2">
        <v>10</v>
      </c>
      <c r="N4" s="2"/>
      <c r="O4" s="2"/>
      <c r="P4" s="2">
        <v>30</v>
      </c>
      <c r="Q4" s="2">
        <v>50</v>
      </c>
      <c r="R4" s="2"/>
      <c r="S4" s="2">
        <v>50</v>
      </c>
      <c r="T4" s="2"/>
      <c r="U4" s="2">
        <v>5</v>
      </c>
      <c r="V4" s="2">
        <v>5</v>
      </c>
      <c r="W4" s="2">
        <v>20</v>
      </c>
      <c r="X4" s="2">
        <v>10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x14ac:dyDescent="0.3">
      <c r="A5" s="11">
        <v>46202</v>
      </c>
      <c r="B5" s="10">
        <v>912084.55</v>
      </c>
      <c r="C5" s="2"/>
      <c r="D5" s="2"/>
      <c r="E5" s="2"/>
      <c r="F5" s="2"/>
      <c r="G5" s="2"/>
      <c r="H5" s="2"/>
      <c r="I5" s="2"/>
      <c r="J5" s="2"/>
      <c r="K5" s="2">
        <v>80</v>
      </c>
      <c r="L5" s="2">
        <v>80</v>
      </c>
      <c r="M5" s="2">
        <v>10</v>
      </c>
      <c r="N5" s="2">
        <v>10</v>
      </c>
      <c r="O5" s="2">
        <v>80</v>
      </c>
      <c r="P5" s="2"/>
      <c r="Q5" s="2"/>
      <c r="R5" s="2"/>
      <c r="S5" s="2"/>
      <c r="T5" s="2">
        <v>10</v>
      </c>
      <c r="U5" s="2">
        <v>50</v>
      </c>
      <c r="V5" s="2">
        <v>50</v>
      </c>
      <c r="W5" s="2"/>
      <c r="X5" s="2">
        <v>15</v>
      </c>
      <c r="Y5" s="2"/>
      <c r="Z5" s="2">
        <v>10</v>
      </c>
      <c r="AA5" s="2">
        <v>20</v>
      </c>
      <c r="AB5" s="2">
        <v>5</v>
      </c>
      <c r="AC5" s="2">
        <v>5</v>
      </c>
      <c r="AD5" s="2"/>
      <c r="AE5" s="2"/>
      <c r="AF5" s="2"/>
      <c r="AG5" s="2">
        <v>30</v>
      </c>
      <c r="AH5" s="2">
        <v>30</v>
      </c>
      <c r="AI5" s="2"/>
      <c r="AJ5" s="2"/>
      <c r="AK5" s="2">
        <v>20</v>
      </c>
      <c r="AL5" s="2">
        <v>20</v>
      </c>
      <c r="AM5" s="2">
        <v>20</v>
      </c>
      <c r="AN5" s="2"/>
      <c r="AO5" s="2"/>
      <c r="AP5" s="2">
        <v>5</v>
      </c>
      <c r="AQ5" s="2">
        <v>5</v>
      </c>
      <c r="AR5" s="2">
        <v>44</v>
      </c>
      <c r="AS5" s="2">
        <v>44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x14ac:dyDescent="0.3">
      <c r="A6" s="11">
        <v>46204</v>
      </c>
      <c r="B6" s="10">
        <v>119830.15</v>
      </c>
      <c r="C6" s="2"/>
      <c r="D6" s="2"/>
      <c r="E6" s="2"/>
      <c r="F6" s="2"/>
      <c r="G6" s="2"/>
      <c r="H6" s="2"/>
      <c r="I6" s="2">
        <v>10</v>
      </c>
      <c r="J6" s="2"/>
      <c r="K6" s="2"/>
      <c r="L6" s="2"/>
      <c r="M6" s="2"/>
      <c r="N6" s="2">
        <v>10</v>
      </c>
      <c r="O6" s="2"/>
      <c r="P6" s="2">
        <v>10</v>
      </c>
      <c r="Q6" s="2"/>
      <c r="R6" s="2"/>
      <c r="S6" s="2"/>
      <c r="T6" s="2"/>
      <c r="U6" s="2"/>
      <c r="V6" s="2"/>
      <c r="W6" s="2"/>
      <c r="X6" s="2"/>
      <c r="Y6" s="2"/>
      <c r="Z6" s="2"/>
      <c r="AA6" s="2">
        <v>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>
        <v>66</v>
      </c>
      <c r="AS6" s="2">
        <v>66</v>
      </c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x14ac:dyDescent="0.3">
      <c r="A7" s="11">
        <v>46227</v>
      </c>
      <c r="B7" s="9">
        <v>59102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20</v>
      </c>
      <c r="AP7" s="2">
        <v>10</v>
      </c>
      <c r="AQ7" s="2">
        <v>130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x14ac:dyDescent="0.3">
      <c r="A8" s="11">
        <v>46233</v>
      </c>
      <c r="B8" s="10">
        <v>190342.59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v>5</v>
      </c>
      <c r="Z8" s="2"/>
      <c r="AA8" s="2"/>
      <c r="AB8" s="2">
        <v>4</v>
      </c>
      <c r="AC8" s="2"/>
      <c r="AD8" s="2">
        <v>6</v>
      </c>
      <c r="AE8" s="2">
        <v>4</v>
      </c>
      <c r="AF8" s="2">
        <v>8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x14ac:dyDescent="0.3">
      <c r="A9" s="11">
        <v>46241</v>
      </c>
      <c r="B9" s="10">
        <v>843822.66</v>
      </c>
      <c r="C9" s="2"/>
      <c r="D9" s="2"/>
      <c r="E9" s="2"/>
      <c r="F9" s="2"/>
      <c r="G9" s="2"/>
      <c r="H9" s="2"/>
      <c r="I9" s="2"/>
      <c r="J9" s="2"/>
      <c r="K9" s="2"/>
      <c r="L9" s="2">
        <v>100</v>
      </c>
      <c r="M9" s="2"/>
      <c r="N9" s="2"/>
      <c r="O9" s="2">
        <v>20</v>
      </c>
      <c r="P9" s="2">
        <v>20</v>
      </c>
      <c r="Q9" s="2"/>
      <c r="R9" s="2"/>
      <c r="S9" s="2"/>
      <c r="T9" s="2"/>
      <c r="U9" s="2"/>
      <c r="V9" s="2"/>
      <c r="W9" s="2"/>
      <c r="X9" s="2">
        <v>60</v>
      </c>
      <c r="Y9" s="2"/>
      <c r="Z9" s="2">
        <v>50</v>
      </c>
      <c r="AA9" s="2">
        <v>40</v>
      </c>
      <c r="AB9" s="2">
        <v>20</v>
      </c>
      <c r="AC9" s="2">
        <v>20</v>
      </c>
      <c r="AD9" s="2">
        <v>20</v>
      </c>
      <c r="AE9" s="2">
        <v>10</v>
      </c>
      <c r="AF9" s="2">
        <v>20</v>
      </c>
      <c r="AG9" s="2"/>
      <c r="AH9" s="2">
        <v>20</v>
      </c>
      <c r="AI9" s="2"/>
      <c r="AJ9" s="2"/>
      <c r="AK9" s="2">
        <v>15</v>
      </c>
      <c r="AL9" s="2">
        <v>50</v>
      </c>
      <c r="AM9" s="2"/>
      <c r="AN9" s="2">
        <v>50</v>
      </c>
      <c r="AO9" s="2">
        <v>20</v>
      </c>
      <c r="AP9" s="2">
        <v>20</v>
      </c>
      <c r="AQ9" s="2">
        <v>20</v>
      </c>
      <c r="AR9" s="2"/>
      <c r="AS9" s="2"/>
      <c r="AT9" s="2">
        <v>5</v>
      </c>
      <c r="AU9" s="2">
        <v>5</v>
      </c>
      <c r="AV9" s="2">
        <v>15</v>
      </c>
      <c r="AW9" s="2">
        <v>15</v>
      </c>
      <c r="AX9" s="2"/>
      <c r="AY9" s="2"/>
      <c r="AZ9" s="2"/>
      <c r="BA9" s="2"/>
      <c r="BB9" s="2"/>
      <c r="BC9" s="2"/>
      <c r="BD9" s="2"/>
      <c r="BE9" s="2"/>
      <c r="BF9" s="8">
        <v>360</v>
      </c>
      <c r="BG9" s="2"/>
      <c r="BH9" s="2"/>
      <c r="BI9" s="2"/>
      <c r="BJ9" s="2"/>
      <c r="BK9" s="2"/>
      <c r="BL9" s="2"/>
      <c r="BM9" s="2"/>
      <c r="BN9" s="2"/>
    </row>
    <row r="10" spans="1:66" x14ac:dyDescent="0.3">
      <c r="A10" s="4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8"/>
      <c r="BG10" s="2"/>
      <c r="BH10" s="2"/>
      <c r="BI10" s="2"/>
      <c r="BJ10" s="2"/>
      <c r="BK10" s="2"/>
      <c r="BL10" s="2"/>
      <c r="BM10" s="2"/>
      <c r="BN10" s="2"/>
    </row>
    <row r="11" spans="1:66" x14ac:dyDescent="0.3">
      <c r="A11" s="4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8"/>
      <c r="BG11" s="2"/>
      <c r="BH11" s="2"/>
      <c r="BI11" s="2"/>
      <c r="BJ11" s="2"/>
      <c r="BK11" s="2"/>
      <c r="BL11" s="2"/>
      <c r="BM11" s="2"/>
      <c r="BN11" s="2"/>
    </row>
    <row r="12" spans="1:66" s="22" customFormat="1" ht="15.6" x14ac:dyDescent="0.3">
      <c r="A12" s="19" t="s">
        <v>71</v>
      </c>
      <c r="B12" s="20" t="s">
        <v>74</v>
      </c>
      <c r="C12" s="21">
        <f>SUM(C3:C11)</f>
        <v>10</v>
      </c>
      <c r="D12" s="21">
        <f t="shared" ref="D12:BN12" si="0">SUM(D3:D11)</f>
        <v>0</v>
      </c>
      <c r="E12" s="21">
        <f t="shared" si="0"/>
        <v>0</v>
      </c>
      <c r="F12" s="21">
        <f t="shared" si="0"/>
        <v>0</v>
      </c>
      <c r="G12" s="21">
        <f t="shared" si="0"/>
        <v>0</v>
      </c>
      <c r="H12" s="21">
        <f t="shared" si="0"/>
        <v>0</v>
      </c>
      <c r="I12" s="21">
        <f t="shared" si="0"/>
        <v>30</v>
      </c>
      <c r="J12" s="21">
        <f t="shared" si="0"/>
        <v>50</v>
      </c>
      <c r="K12" s="21">
        <f t="shared" si="0"/>
        <v>130</v>
      </c>
      <c r="L12" s="21">
        <f t="shared" si="0"/>
        <v>290</v>
      </c>
      <c r="M12" s="21">
        <f t="shared" si="0"/>
        <v>40</v>
      </c>
      <c r="N12" s="21">
        <f t="shared" si="0"/>
        <v>40</v>
      </c>
      <c r="O12" s="21">
        <f t="shared" si="0"/>
        <v>120</v>
      </c>
      <c r="P12" s="21">
        <f t="shared" si="0"/>
        <v>60</v>
      </c>
      <c r="Q12" s="21">
        <f t="shared" si="0"/>
        <v>50</v>
      </c>
      <c r="R12" s="21">
        <f t="shared" si="0"/>
        <v>0</v>
      </c>
      <c r="S12" s="21">
        <f t="shared" si="0"/>
        <v>70</v>
      </c>
      <c r="T12" s="21">
        <f t="shared" si="0"/>
        <v>10</v>
      </c>
      <c r="U12" s="21">
        <f t="shared" si="0"/>
        <v>65</v>
      </c>
      <c r="V12" s="21">
        <f t="shared" si="0"/>
        <v>75</v>
      </c>
      <c r="W12" s="21">
        <f t="shared" si="0"/>
        <v>65</v>
      </c>
      <c r="X12" s="21">
        <f t="shared" si="0"/>
        <v>125</v>
      </c>
      <c r="Y12" s="21">
        <f t="shared" si="0"/>
        <v>15</v>
      </c>
      <c r="Z12" s="21">
        <f t="shared" si="0"/>
        <v>80</v>
      </c>
      <c r="AA12" s="21">
        <f t="shared" si="0"/>
        <v>80</v>
      </c>
      <c r="AB12" s="21">
        <f t="shared" si="0"/>
        <v>39</v>
      </c>
      <c r="AC12" s="21">
        <f t="shared" si="0"/>
        <v>35</v>
      </c>
      <c r="AD12" s="21">
        <f t="shared" si="0"/>
        <v>46</v>
      </c>
      <c r="AE12" s="21">
        <f t="shared" si="0"/>
        <v>19</v>
      </c>
      <c r="AF12" s="21">
        <f t="shared" si="0"/>
        <v>48</v>
      </c>
      <c r="AG12" s="21">
        <f t="shared" si="0"/>
        <v>40</v>
      </c>
      <c r="AH12" s="21">
        <f t="shared" si="0"/>
        <v>55</v>
      </c>
      <c r="AI12" s="21">
        <f t="shared" si="0"/>
        <v>10</v>
      </c>
      <c r="AJ12" s="21">
        <f t="shared" si="0"/>
        <v>10</v>
      </c>
      <c r="AK12" s="21">
        <f t="shared" si="0"/>
        <v>65</v>
      </c>
      <c r="AL12" s="21">
        <f t="shared" si="0"/>
        <v>170</v>
      </c>
      <c r="AM12" s="21">
        <f t="shared" si="0"/>
        <v>40</v>
      </c>
      <c r="AN12" s="21">
        <f t="shared" si="0"/>
        <v>100</v>
      </c>
      <c r="AO12" s="21">
        <f t="shared" si="0"/>
        <v>80</v>
      </c>
      <c r="AP12" s="21">
        <f t="shared" si="0"/>
        <v>75</v>
      </c>
      <c r="AQ12" s="21">
        <f t="shared" si="0"/>
        <v>195</v>
      </c>
      <c r="AR12" s="21">
        <f t="shared" si="0"/>
        <v>210</v>
      </c>
      <c r="AS12" s="21">
        <f t="shared" si="0"/>
        <v>170</v>
      </c>
      <c r="AT12" s="21">
        <f t="shared" si="0"/>
        <v>5</v>
      </c>
      <c r="AU12" s="21">
        <f t="shared" si="0"/>
        <v>5</v>
      </c>
      <c r="AV12" s="21">
        <f t="shared" si="0"/>
        <v>15</v>
      </c>
      <c r="AW12" s="21">
        <f t="shared" si="0"/>
        <v>15</v>
      </c>
      <c r="AX12" s="21">
        <f t="shared" si="0"/>
        <v>720</v>
      </c>
      <c r="AY12" s="21">
        <f t="shared" si="0"/>
        <v>720</v>
      </c>
      <c r="AZ12" s="21">
        <f t="shared" si="0"/>
        <v>1920</v>
      </c>
      <c r="BA12" s="21">
        <f t="shared" si="0"/>
        <v>1920</v>
      </c>
      <c r="BB12" s="21">
        <f t="shared" si="0"/>
        <v>1920</v>
      </c>
      <c r="BC12" s="21">
        <f t="shared" si="0"/>
        <v>720</v>
      </c>
      <c r="BD12" s="21">
        <f t="shared" si="0"/>
        <v>120</v>
      </c>
      <c r="BE12" s="21">
        <f t="shared" si="0"/>
        <v>480</v>
      </c>
      <c r="BF12" s="21">
        <f t="shared" si="0"/>
        <v>480</v>
      </c>
      <c r="BG12" s="21">
        <f t="shared" si="0"/>
        <v>120</v>
      </c>
      <c r="BH12" s="21">
        <f t="shared" si="0"/>
        <v>120</v>
      </c>
      <c r="BI12" s="21">
        <f t="shared" si="0"/>
        <v>120</v>
      </c>
      <c r="BJ12" s="21">
        <f t="shared" si="0"/>
        <v>10</v>
      </c>
      <c r="BK12" s="21">
        <f t="shared" si="0"/>
        <v>20</v>
      </c>
      <c r="BL12" s="21">
        <f t="shared" si="0"/>
        <v>20</v>
      </c>
      <c r="BM12" s="21">
        <f t="shared" si="0"/>
        <v>120</v>
      </c>
      <c r="BN12" s="21">
        <f t="shared" si="0"/>
        <v>4000</v>
      </c>
    </row>
    <row r="13" spans="1:66" s="26" customFormat="1" ht="15.6" x14ac:dyDescent="0.3">
      <c r="A13" s="23" t="s">
        <v>72</v>
      </c>
      <c r="B13" s="24" t="s">
        <v>73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>
        <v>20</v>
      </c>
      <c r="AD13" s="25">
        <v>20</v>
      </c>
      <c r="AE13" s="25">
        <v>10</v>
      </c>
      <c r="AF13" s="25"/>
      <c r="AG13" s="25"/>
      <c r="AH13" s="25">
        <v>20</v>
      </c>
      <c r="AI13" s="25"/>
      <c r="AJ13" s="25"/>
      <c r="AK13" s="25"/>
      <c r="AL13" s="25"/>
      <c r="AM13" s="25"/>
      <c r="AN13" s="25"/>
      <c r="AO13" s="25"/>
      <c r="AP13" s="25"/>
      <c r="AQ13" s="25">
        <v>55</v>
      </c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>
        <v>360</v>
      </c>
      <c r="BG13" s="25"/>
      <c r="BH13" s="25"/>
      <c r="BI13" s="25"/>
      <c r="BJ13" s="25"/>
      <c r="BK13" s="25"/>
      <c r="BL13" s="25"/>
      <c r="BM13" s="25"/>
      <c r="BN13" s="25"/>
    </row>
    <row r="14" spans="1:66" s="30" customFormat="1" ht="15.6" x14ac:dyDescent="0.3">
      <c r="A14" s="27" t="s">
        <v>71</v>
      </c>
      <c r="B14" s="28" t="s">
        <v>75</v>
      </c>
      <c r="C14" s="29">
        <f>C12-C13</f>
        <v>10</v>
      </c>
      <c r="D14" s="29">
        <f t="shared" ref="D14:BN14" si="1">D12-D13</f>
        <v>0</v>
      </c>
      <c r="E14" s="29">
        <f t="shared" si="1"/>
        <v>0</v>
      </c>
      <c r="F14" s="29">
        <f t="shared" si="1"/>
        <v>0</v>
      </c>
      <c r="G14" s="29">
        <f t="shared" si="1"/>
        <v>0</v>
      </c>
      <c r="H14" s="29">
        <f t="shared" si="1"/>
        <v>0</v>
      </c>
      <c r="I14" s="29">
        <f t="shared" si="1"/>
        <v>30</v>
      </c>
      <c r="J14" s="29">
        <f t="shared" si="1"/>
        <v>50</v>
      </c>
      <c r="K14" s="29">
        <f t="shared" si="1"/>
        <v>130</v>
      </c>
      <c r="L14" s="29">
        <f t="shared" si="1"/>
        <v>290</v>
      </c>
      <c r="M14" s="29">
        <f t="shared" si="1"/>
        <v>40</v>
      </c>
      <c r="N14" s="29">
        <f t="shared" si="1"/>
        <v>40</v>
      </c>
      <c r="O14" s="29">
        <f t="shared" si="1"/>
        <v>120</v>
      </c>
      <c r="P14" s="29">
        <f t="shared" si="1"/>
        <v>60</v>
      </c>
      <c r="Q14" s="29">
        <f t="shared" si="1"/>
        <v>50</v>
      </c>
      <c r="R14" s="29">
        <f t="shared" si="1"/>
        <v>0</v>
      </c>
      <c r="S14" s="29">
        <f t="shared" si="1"/>
        <v>70</v>
      </c>
      <c r="T14" s="29">
        <f t="shared" si="1"/>
        <v>10</v>
      </c>
      <c r="U14" s="29">
        <f t="shared" si="1"/>
        <v>65</v>
      </c>
      <c r="V14" s="29">
        <f t="shared" si="1"/>
        <v>75</v>
      </c>
      <c r="W14" s="29">
        <f t="shared" si="1"/>
        <v>65</v>
      </c>
      <c r="X14" s="29">
        <f t="shared" si="1"/>
        <v>125</v>
      </c>
      <c r="Y14" s="29">
        <f t="shared" si="1"/>
        <v>15</v>
      </c>
      <c r="Z14" s="29">
        <f t="shared" si="1"/>
        <v>80</v>
      </c>
      <c r="AA14" s="29">
        <f t="shared" si="1"/>
        <v>80</v>
      </c>
      <c r="AB14" s="29">
        <f t="shared" si="1"/>
        <v>39</v>
      </c>
      <c r="AC14" s="29">
        <f t="shared" si="1"/>
        <v>15</v>
      </c>
      <c r="AD14" s="29">
        <f t="shared" si="1"/>
        <v>26</v>
      </c>
      <c r="AE14" s="29">
        <f t="shared" si="1"/>
        <v>9</v>
      </c>
      <c r="AF14" s="29">
        <f t="shared" si="1"/>
        <v>48</v>
      </c>
      <c r="AG14" s="29">
        <f t="shared" si="1"/>
        <v>40</v>
      </c>
      <c r="AH14" s="29">
        <f t="shared" si="1"/>
        <v>35</v>
      </c>
      <c r="AI14" s="29">
        <f t="shared" si="1"/>
        <v>10</v>
      </c>
      <c r="AJ14" s="29">
        <f t="shared" si="1"/>
        <v>10</v>
      </c>
      <c r="AK14" s="29">
        <f t="shared" si="1"/>
        <v>65</v>
      </c>
      <c r="AL14" s="29">
        <f t="shared" si="1"/>
        <v>170</v>
      </c>
      <c r="AM14" s="29">
        <f t="shared" si="1"/>
        <v>40</v>
      </c>
      <c r="AN14" s="29">
        <f t="shared" si="1"/>
        <v>100</v>
      </c>
      <c r="AO14" s="29">
        <f t="shared" si="1"/>
        <v>80</v>
      </c>
      <c r="AP14" s="29">
        <f t="shared" si="1"/>
        <v>75</v>
      </c>
      <c r="AQ14" s="29">
        <f t="shared" si="1"/>
        <v>140</v>
      </c>
      <c r="AR14" s="29">
        <f t="shared" si="1"/>
        <v>210</v>
      </c>
      <c r="AS14" s="29">
        <f t="shared" si="1"/>
        <v>170</v>
      </c>
      <c r="AT14" s="29">
        <f t="shared" si="1"/>
        <v>5</v>
      </c>
      <c r="AU14" s="29">
        <f t="shared" si="1"/>
        <v>5</v>
      </c>
      <c r="AV14" s="29">
        <f t="shared" si="1"/>
        <v>15</v>
      </c>
      <c r="AW14" s="29">
        <f t="shared" si="1"/>
        <v>15</v>
      </c>
      <c r="AX14" s="29">
        <f t="shared" si="1"/>
        <v>720</v>
      </c>
      <c r="AY14" s="29">
        <f t="shared" si="1"/>
        <v>720</v>
      </c>
      <c r="AZ14" s="29">
        <f t="shared" si="1"/>
        <v>1920</v>
      </c>
      <c r="BA14" s="29">
        <f t="shared" si="1"/>
        <v>1920</v>
      </c>
      <c r="BB14" s="29">
        <f t="shared" si="1"/>
        <v>1920</v>
      </c>
      <c r="BC14" s="29">
        <f t="shared" si="1"/>
        <v>720</v>
      </c>
      <c r="BD14" s="29">
        <f t="shared" si="1"/>
        <v>120</v>
      </c>
      <c r="BE14" s="29">
        <f t="shared" si="1"/>
        <v>480</v>
      </c>
      <c r="BF14" s="29">
        <f t="shared" si="1"/>
        <v>120</v>
      </c>
      <c r="BG14" s="29">
        <f t="shared" si="1"/>
        <v>120</v>
      </c>
      <c r="BH14" s="29">
        <f t="shared" si="1"/>
        <v>120</v>
      </c>
      <c r="BI14" s="29">
        <f t="shared" si="1"/>
        <v>120</v>
      </c>
      <c r="BJ14" s="29">
        <f t="shared" si="1"/>
        <v>10</v>
      </c>
      <c r="BK14" s="29">
        <f t="shared" si="1"/>
        <v>20</v>
      </c>
      <c r="BL14" s="29">
        <f t="shared" si="1"/>
        <v>20</v>
      </c>
      <c r="BM14" s="29">
        <f t="shared" si="1"/>
        <v>120</v>
      </c>
      <c r="BN14" s="29">
        <f t="shared" si="1"/>
        <v>4000</v>
      </c>
    </row>
    <row r="15" spans="1:66" s="18" customFormat="1" ht="15.6" x14ac:dyDescent="0.3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</row>
    <row r="16" spans="1:66" s="18" customFormat="1" ht="15.6" x14ac:dyDescent="0.3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 spans="1:66" x14ac:dyDescent="0.3">
      <c r="A17" s="4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8"/>
      <c r="BG17" s="2"/>
      <c r="BH17" s="2"/>
      <c r="BI17" s="2"/>
      <c r="BJ17" s="2"/>
      <c r="BK17" s="2"/>
      <c r="BL17" s="2"/>
      <c r="BM17" s="2"/>
      <c r="BN17" s="2"/>
    </row>
    <row r="18" spans="1:66" s="14" customFormat="1" x14ac:dyDescent="0.3">
      <c r="A18" s="12" t="s">
        <v>70</v>
      </c>
      <c r="B18" s="13">
        <v>892491.99</v>
      </c>
      <c r="C18" s="12">
        <v>6</v>
      </c>
      <c r="D18" s="12"/>
      <c r="E18" s="12"/>
      <c r="F18" s="12"/>
      <c r="G18" s="12"/>
      <c r="H18" s="12"/>
      <c r="I18" s="12">
        <v>50</v>
      </c>
      <c r="J18" s="12">
        <v>10</v>
      </c>
      <c r="K18" s="12">
        <v>60</v>
      </c>
      <c r="L18" s="12">
        <v>200</v>
      </c>
      <c r="M18" s="12">
        <v>30</v>
      </c>
      <c r="N18" s="12"/>
      <c r="O18" s="12"/>
      <c r="P18" s="12"/>
      <c r="Q18" s="12"/>
      <c r="R18" s="12"/>
      <c r="S18" s="12">
        <v>150</v>
      </c>
      <c r="T18" s="12"/>
      <c r="U18" s="12">
        <v>2</v>
      </c>
      <c r="V18" s="12">
        <v>4</v>
      </c>
      <c r="W18" s="12">
        <v>3</v>
      </c>
      <c r="X18" s="12">
        <v>8</v>
      </c>
      <c r="Y18" s="12"/>
      <c r="Z18" s="12">
        <v>3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5</v>
      </c>
      <c r="AL18" s="12">
        <v>15</v>
      </c>
      <c r="AM18" s="12"/>
      <c r="AN18" s="12">
        <v>5</v>
      </c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</row>
    <row r="19" spans="1:6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</sheetData>
  <mergeCells count="4">
    <mergeCell ref="C1:T1"/>
    <mergeCell ref="U1:AJ1"/>
    <mergeCell ref="AK1:AV1"/>
    <mergeCell ref="AX1:B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benjamincuyuca@outlook.com</dc:creator>
  <cp:lastModifiedBy>benjamincuyuca@outlook.com</cp:lastModifiedBy>
  <dcterms:created xsi:type="dcterms:W3CDTF">2026-09-04T06:50:07Z</dcterms:created>
  <dcterms:modified xsi:type="dcterms:W3CDTF">2026-09-05T02:59:31Z</dcterms:modified>
</cp:coreProperties>
</file>