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me" sheetId="2" state="visible" r:id="rId2"/>
    <sheet xmlns:r="http://schemas.openxmlformats.org/officeDocument/2006/relationships" name="Not in 12 Sep delivery" sheetId="3" state="visible" r:id="rId3"/>
    <sheet xmlns:r="http://schemas.openxmlformats.org/officeDocument/2006/relationships" name="Short" sheetId="4" state="visible" r:id="rId4"/>
    <sheet xmlns:r="http://schemas.openxmlformats.org/officeDocument/2006/relationships" name="Over-delivered" sheetId="5" state="visible" r:id="rId5"/>
    <sheet xmlns:r="http://schemas.openxmlformats.org/officeDocument/2006/relationships" name="Came on older order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E5C28"/>
      <sz val="14"/>
    </font>
    <font>
      <i val="1"/>
      <color rgb="00555555"/>
    </font>
    <font>
      <b val="1"/>
      <color rgb="00FFFFFF"/>
    </font>
    <font>
      <b val="1"/>
    </font>
  </fonts>
  <fills count="7">
    <fill>
      <patternFill/>
    </fill>
    <fill>
      <patternFill patternType="gray125"/>
    </fill>
    <fill>
      <patternFill patternType="solid">
        <fgColor rgb="001E5C28"/>
      </patternFill>
    </fill>
    <fill>
      <patternFill patternType="solid">
        <fgColor rgb="00FFF1CF"/>
      </patternFill>
    </fill>
    <fill>
      <patternFill patternType="solid">
        <fgColor rgb="00E3F1E5"/>
      </patternFill>
    </fill>
    <fill>
      <patternFill patternType="solid">
        <fgColor rgb="00FBE0DE"/>
      </patternFill>
    </fill>
    <fill>
      <patternFill patternType="solid">
        <fgColor rgb="00EEF0F3"/>
      </patternFill>
    </fill>
  </fills>
  <borders count="3">
    <border>
      <left/>
      <right/>
      <top/>
      <bottom/>
      <diagonal/>
    </border>
    <border>
      <left style="thin">
        <color rgb="00C9CFD6"/>
      </left>
      <right style="thin">
        <color rgb="00C9CFD6"/>
      </right>
      <top style="thin">
        <color rgb="00C9CFD6"/>
      </top>
      <bottom style="thin">
        <color rgb="00C9CFD6"/>
      </bottom>
    </border>
    <border>
      <top style="medium">
        <color rgb="001E5C28"/>
      </top>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0" fillId="3" borderId="1" pivotButton="0" quotePrefix="0" xfId="0"/>
    <xf numFmtId="4" fontId="0" fillId="3" borderId="1" pivotButton="0" quotePrefix="0" xfId="0"/>
    <xf numFmtId="0" fontId="0" fillId="4" borderId="1" pivotButton="0" quotePrefix="0" xfId="0"/>
    <xf numFmtId="4" fontId="0" fillId="4" borderId="1" pivotButton="0" quotePrefix="0" xfId="0"/>
    <xf numFmtId="0" fontId="0" fillId="5" borderId="1" pivotButton="0" quotePrefix="0" xfId="0"/>
    <xf numFmtId="4" fontId="0" fillId="5" borderId="1" pivotButton="0" quotePrefix="0" xfId="0"/>
    <xf numFmtId="0" fontId="0" fillId="6" borderId="1" pivotButton="0" quotePrefix="0" xfId="0"/>
    <xf numFmtId="4" fontId="0" fillId="6" borderId="1" pivotButton="0" quotePrefix="0" xfId="0"/>
    <xf numFmtId="0" fontId="4" fillId="0" borderId="2" pivotButton="0" quotePrefix="0" xfId="0"/>
    <xf numFmtId="0" fontId="0" fillId="0" borderId="2" pivotButton="0" quotePrefix="0" xfId="0"/>
    <xf numFmtId="4" fontId="4" fillId="0" borderId="2"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2" customWidth="1" min="3" max="3"/>
    <col width="7" customWidth="1" min="4" max="4"/>
    <col width="10" customWidth="1" min="5" max="5"/>
    <col width="11" customWidth="1" min="6" max="6"/>
    <col width="14" customWidth="1" min="7" max="7"/>
    <col width="15" customWidth="1" min="8" max="8"/>
    <col width="18" customWidth="1" min="9" max="9"/>
    <col width="44" customWidth="1" min="10" max="10"/>
  </cols>
  <sheetData>
    <row r="1">
      <c r="A1" s="1" t="inlineStr">
        <is>
          <t>Summary</t>
        </is>
      </c>
    </row>
    <row r="2" ht="44" customHeight="1">
      <c r="A2" s="2" t="inlineStr">
        <is>
          <t>Paid URC sales orders (PO1–PO5.pdf) against the 12 Sep 2026 delivery (the ACI and MMFI pickup lists). "Not in 12 Sep delivery" counts every bag that did not come that day, valued at the net cost paid per bag — some of it may have come in an earlier delivery.</t>
        </is>
      </c>
    </row>
    <row r="4">
      <c r="A4" s="3" t="inlineStr">
        <is>
          <t>File</t>
        </is>
      </c>
      <c r="B4" s="3" t="inlineStr">
        <is>
          <t>Sales order</t>
        </is>
      </c>
      <c r="C4" s="3" t="inlineStr">
        <is>
          <t>SO date</t>
        </is>
      </c>
      <c r="D4" s="3" t="inlineStr">
        <is>
          <t>Lines</t>
        </is>
      </c>
      <c r="E4" s="3" t="inlineStr">
        <is>
          <t>Ordered</t>
        </is>
      </c>
      <c r="F4" s="3" t="inlineStr">
        <is>
          <t>Came 12 Sep</t>
        </is>
      </c>
      <c r="G4" s="3" t="inlineStr">
        <is>
          <t>Not in 12 Sep delivery</t>
        </is>
      </c>
      <c r="H4" s="3" t="inlineStr">
        <is>
          <t>Amount paid</t>
        </is>
      </c>
      <c r="I4" s="3" t="inlineStr">
        <is>
          <t>Value not in 12 Sep delivery</t>
        </is>
      </c>
      <c r="J4" s="3" t="inlineStr">
        <is>
          <t>Status</t>
        </is>
      </c>
    </row>
    <row r="5">
      <c r="A5" s="4" t="inlineStr">
        <is>
          <t>PO1.pdf</t>
        </is>
      </c>
      <c r="B5" s="4" t="inlineStr">
        <is>
          <t>SO 1890279961</t>
        </is>
      </c>
      <c r="C5" s="4" t="inlineStr">
        <is>
          <t>2026-09-07</t>
        </is>
      </c>
      <c r="D5" s="4" t="n">
        <v>6</v>
      </c>
      <c r="E5" s="4" t="n">
        <v>109</v>
      </c>
      <c r="F5" s="4" t="n">
        <v>110</v>
      </c>
      <c r="G5" s="4" t="n">
        <v>3</v>
      </c>
      <c r="H5" s="5" t="n">
        <v>183639.75</v>
      </c>
      <c r="I5" s="5" t="n">
        <v>4968.24</v>
      </c>
      <c r="J5" s="4" t="inlineStr">
        <is>
          <t>Partly delivered</t>
        </is>
      </c>
    </row>
    <row r="6">
      <c r="A6" s="6" t="inlineStr">
        <is>
          <t>PO1.pdf</t>
        </is>
      </c>
      <c r="B6" s="6" t="inlineStr">
        <is>
          <t>SO 1890279962</t>
        </is>
      </c>
      <c r="C6" s="6" t="inlineStr">
        <is>
          <t>2026-09-07</t>
        </is>
      </c>
      <c r="D6" s="6" t="n">
        <v>2</v>
      </c>
      <c r="E6" s="6" t="n">
        <v>12</v>
      </c>
      <c r="F6" s="6" t="n">
        <v>12</v>
      </c>
      <c r="G6" s="6" t="n">
        <v>0</v>
      </c>
      <c r="H6" s="7" t="n">
        <v>11086.5</v>
      </c>
      <c r="I6" s="7" t="n">
        <v>0</v>
      </c>
      <c r="J6" s="6" t="inlineStr">
        <is>
          <t>Complete</t>
        </is>
      </c>
    </row>
    <row r="7">
      <c r="A7" s="6" t="inlineStr">
        <is>
          <t>PO1.pdf</t>
        </is>
      </c>
      <c r="B7" s="6" t="inlineStr">
        <is>
          <t>SO 1890279963</t>
        </is>
      </c>
      <c r="C7" s="6" t="inlineStr">
        <is>
          <t>2026-09-07</t>
        </is>
      </c>
      <c r="D7" s="6" t="n">
        <v>1</v>
      </c>
      <c r="E7" s="6" t="n">
        <v>30</v>
      </c>
      <c r="F7" s="6" t="n">
        <v>30</v>
      </c>
      <c r="G7" s="6" t="n">
        <v>0</v>
      </c>
      <c r="H7" s="7" t="n">
        <v>40155.36</v>
      </c>
      <c r="I7" s="7" t="n">
        <v>0</v>
      </c>
      <c r="J7" s="6" t="inlineStr">
        <is>
          <t>Complete</t>
        </is>
      </c>
    </row>
    <row r="8">
      <c r="A8" s="6" t="inlineStr">
        <is>
          <t>PO1.pdf</t>
        </is>
      </c>
      <c r="B8" s="6" t="inlineStr">
        <is>
          <t>SO 1890279971</t>
        </is>
      </c>
      <c r="C8" s="6" t="inlineStr">
        <is>
          <t>2026-09-07</t>
        </is>
      </c>
      <c r="D8" s="6" t="n">
        <v>2</v>
      </c>
      <c r="E8" s="6" t="n">
        <v>70</v>
      </c>
      <c r="F8" s="6" t="n">
        <v>70</v>
      </c>
      <c r="G8" s="6" t="n">
        <v>0</v>
      </c>
      <c r="H8" s="7" t="n">
        <v>35750.4</v>
      </c>
      <c r="I8" s="7" t="n">
        <v>0</v>
      </c>
      <c r="J8" s="6" t="inlineStr">
        <is>
          <t>Complete</t>
        </is>
      </c>
    </row>
    <row r="9">
      <c r="A9" s="6" t="inlineStr">
        <is>
          <t>PO1.pdf</t>
        </is>
      </c>
      <c r="B9" s="6" t="inlineStr">
        <is>
          <t>SO 1890279972</t>
        </is>
      </c>
      <c r="C9" s="6" t="inlineStr">
        <is>
          <t>2026-09-07</t>
        </is>
      </c>
      <c r="D9" s="6" t="n">
        <v>1</v>
      </c>
      <c r="E9" s="6" t="n">
        <v>3</v>
      </c>
      <c r="F9" s="6" t="n">
        <v>3</v>
      </c>
      <c r="G9" s="6" t="n">
        <v>0</v>
      </c>
      <c r="H9" s="7" t="n">
        <v>9416.4</v>
      </c>
      <c r="I9" s="7" t="n">
        <v>0</v>
      </c>
      <c r="J9" s="6" t="inlineStr">
        <is>
          <t>Complete</t>
        </is>
      </c>
    </row>
    <row r="10">
      <c r="A10" s="4" t="inlineStr">
        <is>
          <t>PO2.pdf</t>
        </is>
      </c>
      <c r="B10" s="4" t="inlineStr">
        <is>
          <t>SO 1890276777</t>
        </is>
      </c>
      <c r="C10" s="4" t="inlineStr">
        <is>
          <t>2026-08-19</t>
        </is>
      </c>
      <c r="D10" s="4" t="n">
        <v>4</v>
      </c>
      <c r="E10" s="4" t="n">
        <v>330</v>
      </c>
      <c r="F10" s="4" t="n">
        <v>279</v>
      </c>
      <c r="G10" s="4" t="n">
        <v>51</v>
      </c>
      <c r="H10" s="5" t="n">
        <v>448946.25</v>
      </c>
      <c r="I10" s="5" t="n">
        <v>75721.92</v>
      </c>
      <c r="J10" s="4" t="inlineStr">
        <is>
          <t>Partly delivered</t>
        </is>
      </c>
    </row>
    <row r="11">
      <c r="A11" s="4" t="inlineStr">
        <is>
          <t>PO2.pdf</t>
        </is>
      </c>
      <c r="B11" s="4" t="inlineStr">
        <is>
          <t>SO 1890276779</t>
        </is>
      </c>
      <c r="C11" s="4" t="inlineStr">
        <is>
          <t>2026-08-19</t>
        </is>
      </c>
      <c r="D11" s="4" t="n">
        <v>3</v>
      </c>
      <c r="E11" s="4" t="n">
        <v>45</v>
      </c>
      <c r="F11" s="4" t="n">
        <v>30</v>
      </c>
      <c r="G11" s="4" t="n">
        <v>15</v>
      </c>
      <c r="H11" s="5" t="n">
        <v>72700.62</v>
      </c>
      <c r="I11" s="5" t="n">
        <v>29236.2</v>
      </c>
      <c r="J11" s="4" t="inlineStr">
        <is>
          <t>Partly delivered</t>
        </is>
      </c>
    </row>
    <row r="12">
      <c r="A12" s="8" t="inlineStr">
        <is>
          <t>PO2.pdf</t>
        </is>
      </c>
      <c r="B12" s="8" t="inlineStr">
        <is>
          <t>SO 1890276783</t>
        </is>
      </c>
      <c r="C12" s="8" t="inlineStr">
        <is>
          <t>2026-08-19</t>
        </is>
      </c>
      <c r="D12" s="8" t="n">
        <v>2</v>
      </c>
      <c r="E12" s="8" t="n">
        <v>20</v>
      </c>
      <c r="F12" s="8" t="n">
        <v>0</v>
      </c>
      <c r="G12" s="8" t="n">
        <v>20</v>
      </c>
      <c r="H12" s="9" t="n">
        <v>21216.16</v>
      </c>
      <c r="I12" s="9" t="n">
        <v>21216.2</v>
      </c>
      <c r="J12" s="8" t="inlineStr">
        <is>
          <t>None came 12 Sep</t>
        </is>
      </c>
    </row>
    <row r="13">
      <c r="A13" s="6" t="inlineStr">
        <is>
          <t>PO3.pdf</t>
        </is>
      </c>
      <c r="B13" s="6" t="inlineStr">
        <is>
          <t>SO 1890280005</t>
        </is>
      </c>
      <c r="C13" s="6" t="inlineStr">
        <is>
          <t>2026-09-07</t>
        </is>
      </c>
      <c r="D13" s="6" t="n">
        <v>1</v>
      </c>
      <c r="E13" s="6" t="n">
        <v>30</v>
      </c>
      <c r="F13" s="6" t="n">
        <v>30</v>
      </c>
      <c r="G13" s="6" t="n">
        <v>0</v>
      </c>
      <c r="H13" s="7" t="n">
        <v>40155.36</v>
      </c>
      <c r="I13" s="7" t="n">
        <v>0</v>
      </c>
      <c r="J13" s="6" t="inlineStr">
        <is>
          <t>Complete</t>
        </is>
      </c>
    </row>
    <row r="14">
      <c r="A14" s="6" t="inlineStr">
        <is>
          <t>PO4.pdf</t>
        </is>
      </c>
      <c r="B14" s="6" t="inlineStr">
        <is>
          <t>SO 1890279850</t>
        </is>
      </c>
      <c r="C14" s="6" t="inlineStr">
        <is>
          <t>2026-09-07</t>
        </is>
      </c>
      <c r="D14" s="6" t="n">
        <v>1</v>
      </c>
      <c r="E14" s="6" t="n">
        <v>20</v>
      </c>
      <c r="F14" s="6" t="n">
        <v>20</v>
      </c>
      <c r="G14" s="6" t="n">
        <v>0</v>
      </c>
      <c r="H14" s="7" t="n">
        <v>62776</v>
      </c>
      <c r="I14" s="7" t="n">
        <v>0</v>
      </c>
      <c r="J14" s="6" t="inlineStr">
        <is>
          <t>Complete</t>
        </is>
      </c>
    </row>
    <row r="15">
      <c r="A15" s="10" t="inlineStr">
        <is>
          <t>PO5.pdf</t>
        </is>
      </c>
      <c r="B15" s="10" t="inlineStr">
        <is>
          <t>SO 1890267771</t>
        </is>
      </c>
      <c r="C15" s="10" t="inlineStr">
        <is>
          <t>2026-07-01</t>
        </is>
      </c>
      <c r="D15" s="10" t="n">
        <v>3</v>
      </c>
      <c r="E15" s="10" t="n">
        <v>30</v>
      </c>
      <c r="F15" s="10" t="n">
        <v>0</v>
      </c>
      <c r="G15" s="10" t="n">
        <v>30</v>
      </c>
      <c r="H15" s="11" t="n">
        <v>50017.5</v>
      </c>
      <c r="I15" s="11" t="n">
        <v>50017.6</v>
      </c>
      <c r="J15" s="10" t="inlineStr">
        <is>
          <t>None came 12 Sep — books say received earlier; confirm</t>
        </is>
      </c>
    </row>
    <row r="16">
      <c r="A16" s="10" t="inlineStr">
        <is>
          <t>PO5.pdf</t>
        </is>
      </c>
      <c r="B16" s="10" t="inlineStr">
        <is>
          <t>SO 1890267773</t>
        </is>
      </c>
      <c r="C16" s="10" t="inlineStr">
        <is>
          <t>2026-07-01</t>
        </is>
      </c>
      <c r="D16" s="10" t="n">
        <v>1</v>
      </c>
      <c r="E16" s="10" t="n">
        <v>10</v>
      </c>
      <c r="F16" s="10" t="n">
        <v>0</v>
      </c>
      <c r="G16" s="10" t="n">
        <v>10</v>
      </c>
      <c r="H16" s="11" t="n">
        <v>8526.25</v>
      </c>
      <c r="I16" s="11" t="n">
        <v>8526.299999999999</v>
      </c>
      <c r="J16" s="10" t="inlineStr">
        <is>
          <t>None came 12 Sep — books say received earlier; confirm</t>
        </is>
      </c>
    </row>
    <row r="17">
      <c r="A17" s="12" t="inlineStr">
        <is>
          <t>TOTAL</t>
        </is>
      </c>
      <c r="B17" s="13" t="n"/>
      <c r="C17" s="13" t="n"/>
      <c r="D17" s="12">
        <f>SUM(D5:D16)</f>
        <v/>
      </c>
      <c r="E17" s="12">
        <f>SUM(E5:E16)</f>
        <v/>
      </c>
      <c r="F17" s="12">
        <f>SUM(F5:F16)</f>
        <v/>
      </c>
      <c r="G17" s="12">
        <f>SUM(G5:G16)</f>
        <v/>
      </c>
      <c r="H17" s="14">
        <f>SUM(H5:H16)</f>
        <v/>
      </c>
      <c r="I17" s="14">
        <f>SUM(I5:I16)</f>
        <v/>
      </c>
      <c r="J17" s="13" t="n"/>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pane ySplit="4" topLeftCell="A5" activePane="bottomLeft" state="frozen"/>
      <selection pane="bottomLeft" activeCell="A1" sqref="A1"/>
    </sheetView>
  </sheetViews>
  <sheetFormatPr baseColWidth="8" defaultRowHeight="15"/>
  <cols>
    <col width="16" customWidth="1" min="1" max="1"/>
    <col width="12" customWidth="1" min="2" max="2"/>
    <col width="16" customWidth="1" min="3" max="3"/>
    <col width="8" customWidth="1" min="4" max="4"/>
    <col width="10" customWidth="1" min="5" max="5"/>
    <col width="42" customWidth="1" min="6" max="6"/>
    <col width="9" customWidth="1" min="7" max="7"/>
    <col width="9" customWidth="1" min="8" max="8"/>
    <col width="11" customWidth="1" min="9" max="9"/>
    <col width="14" customWidth="1" min="10" max="10"/>
  </cols>
  <sheetData>
    <row r="1">
      <c r="A1" s="1" t="inlineStr">
        <is>
          <t>Came</t>
        </is>
      </c>
    </row>
    <row r="2" ht="44" customHeight="1">
      <c r="A2" s="2" t="inlineStr">
        <is>
          <t>Everything that arrived on 12 Sep 2026 against these paid orders. Where URC re-approved an order under a new SO number, the number on the pickup list is shown under "Picked up as".</t>
        </is>
      </c>
    </row>
    <row r="4">
      <c r="A4" s="3" t="inlineStr">
        <is>
          <t>Sales order</t>
        </is>
      </c>
      <c r="B4" s="3" t="inlineStr">
        <is>
          <t>SO date</t>
        </is>
      </c>
      <c r="C4" s="3" t="inlineStr">
        <is>
          <t>Picked up as</t>
        </is>
      </c>
      <c r="D4" s="3" t="inlineStr">
        <is>
          <t>Pickup</t>
        </is>
      </c>
      <c r="E4" s="3" t="inlineStr">
        <is>
          <t>URC code</t>
        </is>
      </c>
      <c r="F4" s="3" t="inlineStr">
        <is>
          <t>Product</t>
        </is>
      </c>
      <c r="G4" s="3" t="inlineStr">
        <is>
          <t>Ordered</t>
        </is>
      </c>
      <c r="H4" s="3" t="inlineStr">
        <is>
          <t>Came</t>
        </is>
      </c>
      <c r="I4" s="3" t="inlineStr">
        <is>
          <t>Difference</t>
        </is>
      </c>
      <c r="J4" s="3" t="inlineStr">
        <is>
          <t>Status</t>
        </is>
      </c>
    </row>
    <row r="5">
      <c r="A5" s="4" t="inlineStr">
        <is>
          <t>SO 1890279961</t>
        </is>
      </c>
      <c r="B5" s="4" t="inlineStr">
        <is>
          <t>2026-09-07</t>
        </is>
      </c>
      <c r="C5" s="4" t="inlineStr">
        <is>
          <t>(same)</t>
        </is>
      </c>
      <c r="D5" s="4" t="inlineStr">
        <is>
          <t>MMFI</t>
        </is>
      </c>
      <c r="E5" s="4" t="inlineStr">
        <is>
          <t>874710</t>
        </is>
      </c>
      <c r="F5" s="4" t="inlineStr">
        <is>
          <t>Uno+ Premium Starter Pellet 50Kg/B</t>
        </is>
      </c>
      <c r="G5" s="4" t="n">
        <v>30</v>
      </c>
      <c r="H5" s="4" t="n">
        <v>34</v>
      </c>
      <c r="I5" s="4" t="n">
        <v>4</v>
      </c>
      <c r="J5" s="4" t="inlineStr">
        <is>
          <t>Over +4</t>
        </is>
      </c>
    </row>
    <row r="6">
      <c r="A6" s="6" t="inlineStr">
        <is>
          <t>SO 1890279961</t>
        </is>
      </c>
      <c r="B6" s="6" t="inlineStr">
        <is>
          <t>2026-09-07</t>
        </is>
      </c>
      <c r="C6" s="6" t="inlineStr">
        <is>
          <t>(same)</t>
        </is>
      </c>
      <c r="D6" s="6" t="inlineStr">
        <is>
          <t>MMFI</t>
        </is>
      </c>
      <c r="E6" s="6" t="inlineStr">
        <is>
          <t>874730</t>
        </is>
      </c>
      <c r="F6" s="6" t="inlineStr">
        <is>
          <t>Uno+ Supreme Boost 25X1Kg</t>
        </is>
      </c>
      <c r="G6" s="6" t="n">
        <v>4</v>
      </c>
      <c r="H6" s="6" t="n">
        <v>4</v>
      </c>
      <c r="I6" s="6" t="n">
        <v>0</v>
      </c>
      <c r="J6" s="6" t="inlineStr">
        <is>
          <t>Complete</t>
        </is>
      </c>
    </row>
    <row r="7">
      <c r="A7" s="6" t="inlineStr">
        <is>
          <t>SO 1890279961</t>
        </is>
      </c>
      <c r="B7" s="6" t="inlineStr">
        <is>
          <t>2026-09-07</t>
        </is>
      </c>
      <c r="C7" s="6" t="inlineStr">
        <is>
          <t>(same)</t>
        </is>
      </c>
      <c r="D7" s="6" t="inlineStr">
        <is>
          <t>MMFI</t>
        </is>
      </c>
      <c r="E7" s="6" t="inlineStr">
        <is>
          <t>874720</t>
        </is>
      </c>
      <c r="F7" s="6" t="inlineStr">
        <is>
          <t>Uno+ Premium Breeder Pellet 50kg/B</t>
        </is>
      </c>
      <c r="G7" s="6" t="n">
        <v>15</v>
      </c>
      <c r="H7" s="6" t="n">
        <v>15</v>
      </c>
      <c r="I7" s="6" t="n">
        <v>0</v>
      </c>
      <c r="J7" s="6" t="inlineStr">
        <is>
          <t>Complete</t>
        </is>
      </c>
    </row>
    <row r="8">
      <c r="A8" s="4" t="inlineStr">
        <is>
          <t>SO 1890279961</t>
        </is>
      </c>
      <c r="B8" s="4" t="inlineStr">
        <is>
          <t>2026-09-07</t>
        </is>
      </c>
      <c r="C8" s="4" t="inlineStr">
        <is>
          <t>(same)</t>
        </is>
      </c>
      <c r="D8" s="4" t="inlineStr">
        <is>
          <t>MMFI</t>
        </is>
      </c>
      <c r="E8" s="4" t="inlineStr">
        <is>
          <t>874700</t>
        </is>
      </c>
      <c r="F8" s="4" t="inlineStr">
        <is>
          <t>Uno+ Premium Grower Pellet 50Kg/B</t>
        </is>
      </c>
      <c r="G8" s="4" t="n">
        <v>30</v>
      </c>
      <c r="H8" s="4" t="n">
        <v>28</v>
      </c>
      <c r="I8" s="4" t="n">
        <v>-2</v>
      </c>
      <c r="J8" s="4" t="inlineStr">
        <is>
          <t>Short 2</t>
        </is>
      </c>
    </row>
    <row r="9">
      <c r="A9" s="4" t="inlineStr">
        <is>
          <t>SO 1890279961</t>
        </is>
      </c>
      <c r="B9" s="4" t="inlineStr">
        <is>
          <t>2026-09-07</t>
        </is>
      </c>
      <c r="C9" s="4" t="inlineStr">
        <is>
          <t>(same)</t>
        </is>
      </c>
      <c r="D9" s="4" t="inlineStr">
        <is>
          <t>MMFI</t>
        </is>
      </c>
      <c r="E9" s="4" t="inlineStr">
        <is>
          <t>874860</t>
        </is>
      </c>
      <c r="F9" s="4" t="inlineStr">
        <is>
          <t>Uno+ Premium Lactating Pellet 50kg/B</t>
        </is>
      </c>
      <c r="G9" s="4" t="n">
        <v>20</v>
      </c>
      <c r="H9" s="4" t="n">
        <v>19</v>
      </c>
      <c r="I9" s="4" t="n">
        <v>-1</v>
      </c>
      <c r="J9" s="4" t="inlineStr">
        <is>
          <t>Short 1</t>
        </is>
      </c>
    </row>
    <row r="10">
      <c r="A10" s="6" t="inlineStr">
        <is>
          <t>SO 1890279961</t>
        </is>
      </c>
      <c r="B10" s="6" t="inlineStr">
        <is>
          <t>2026-09-07</t>
        </is>
      </c>
      <c r="C10" s="6" t="inlineStr">
        <is>
          <t>(same)</t>
        </is>
      </c>
      <c r="D10" s="6" t="inlineStr">
        <is>
          <t>MMFI</t>
        </is>
      </c>
      <c r="E10" s="6" t="inlineStr">
        <is>
          <t>874650</t>
        </is>
      </c>
      <c r="F10" s="6" t="inlineStr">
        <is>
          <t>Star Gain Grower Pellet 50Kg/B</t>
        </is>
      </c>
      <c r="G10" s="6" t="n">
        <v>10</v>
      </c>
      <c r="H10" s="6" t="n">
        <v>10</v>
      </c>
      <c r="I10" s="6" t="n">
        <v>0</v>
      </c>
      <c r="J10" s="6" t="inlineStr">
        <is>
          <t>Complete</t>
        </is>
      </c>
    </row>
    <row r="11">
      <c r="A11" s="6" t="inlineStr">
        <is>
          <t>SO 1890279962</t>
        </is>
      </c>
      <c r="B11" s="6" t="inlineStr">
        <is>
          <t>2026-09-07</t>
        </is>
      </c>
      <c r="C11" s="6" t="inlineStr">
        <is>
          <t>(same)</t>
        </is>
      </c>
      <c r="D11" s="6" t="inlineStr">
        <is>
          <t>MMFI</t>
        </is>
      </c>
      <c r="E11" s="6" t="inlineStr">
        <is>
          <t>873510</t>
        </is>
      </c>
      <c r="F11" s="6" t="inlineStr">
        <is>
          <t>Sup Infinity Power Concentrate 25kg (8)</t>
        </is>
      </c>
      <c r="G11" s="6" t="n">
        <v>6</v>
      </c>
      <c r="H11" s="6" t="n">
        <v>6</v>
      </c>
      <c r="I11" s="6" t="n">
        <v>0</v>
      </c>
      <c r="J11" s="6" t="inlineStr">
        <is>
          <t>Complete</t>
        </is>
      </c>
    </row>
    <row r="12">
      <c r="A12" s="6" t="inlineStr">
        <is>
          <t>SO 1890279962</t>
        </is>
      </c>
      <c r="B12" s="6" t="inlineStr">
        <is>
          <t>2026-09-07</t>
        </is>
      </c>
      <c r="C12" s="6" t="inlineStr">
        <is>
          <t>(same)</t>
        </is>
      </c>
      <c r="D12" s="6" t="inlineStr">
        <is>
          <t>MMFI</t>
        </is>
      </c>
      <c r="E12" s="6" t="inlineStr">
        <is>
          <t>873520</t>
        </is>
      </c>
      <c r="F12" s="6" t="inlineStr">
        <is>
          <t>Sup Infinity Super Conditioner 25kg (12)</t>
        </is>
      </c>
      <c r="G12" s="6" t="n">
        <v>6</v>
      </c>
      <c r="H12" s="6" t="n">
        <v>6</v>
      </c>
      <c r="I12" s="6" t="n">
        <v>0</v>
      </c>
      <c r="J12" s="6" t="inlineStr">
        <is>
          <t>Complete</t>
        </is>
      </c>
    </row>
    <row r="13">
      <c r="A13" s="6" t="inlineStr">
        <is>
          <t>SO 1890279963</t>
        </is>
      </c>
      <c r="B13" s="6" t="inlineStr">
        <is>
          <t>2026-09-07</t>
        </is>
      </c>
      <c r="C13" s="6" t="inlineStr">
        <is>
          <t>(same)</t>
        </is>
      </c>
      <c r="D13" s="6" t="inlineStr">
        <is>
          <t>ACI</t>
        </is>
      </c>
      <c r="E13" s="6" t="inlineStr">
        <is>
          <t>878140</t>
        </is>
      </c>
      <c r="F13" s="6" t="inlineStr">
        <is>
          <t>Topbreed Adult Meal 20Kg/B</t>
        </is>
      </c>
      <c r="G13" s="6" t="n">
        <v>30</v>
      </c>
      <c r="H13" s="6" t="n">
        <v>30</v>
      </c>
      <c r="I13" s="6" t="n">
        <v>0</v>
      </c>
      <c r="J13" s="6" t="inlineStr">
        <is>
          <t>Complete</t>
        </is>
      </c>
    </row>
    <row r="14">
      <c r="A14" s="6" t="inlineStr">
        <is>
          <t>SO 1890279971</t>
        </is>
      </c>
      <c r="B14" s="6" t="inlineStr">
        <is>
          <t>2026-09-07</t>
        </is>
      </c>
      <c r="C14" s="6" t="inlineStr">
        <is>
          <t>(same)</t>
        </is>
      </c>
      <c r="D14" s="6" t="inlineStr">
        <is>
          <t>ACI</t>
        </is>
      </c>
      <c r="E14" s="6" t="inlineStr">
        <is>
          <t>821788</t>
        </is>
      </c>
      <c r="F14" s="6" t="inlineStr">
        <is>
          <t>Topcare Cat Litter Lavender 10L X 3 PC</t>
        </is>
      </c>
      <c r="G14" s="6" t="n">
        <v>50</v>
      </c>
      <c r="H14" s="6" t="n">
        <v>50</v>
      </c>
      <c r="I14" s="6" t="n">
        <v>0</v>
      </c>
      <c r="J14" s="6" t="inlineStr">
        <is>
          <t>Complete</t>
        </is>
      </c>
    </row>
    <row r="15">
      <c r="A15" s="6" t="inlineStr">
        <is>
          <t>SO 1890279971</t>
        </is>
      </c>
      <c r="B15" s="6" t="inlineStr">
        <is>
          <t>2026-09-07</t>
        </is>
      </c>
      <c r="C15" s="6" t="inlineStr">
        <is>
          <t>(same)</t>
        </is>
      </c>
      <c r="D15" s="6" t="inlineStr">
        <is>
          <t>ACI</t>
        </is>
      </c>
      <c r="E15" s="6" t="inlineStr">
        <is>
          <t>821792</t>
        </is>
      </c>
      <c r="F15" s="6" t="inlineStr">
        <is>
          <t>TopCare Cat Litter Coffee 10L x 3 PC</t>
        </is>
      </c>
      <c r="G15" s="6" t="n">
        <v>20</v>
      </c>
      <c r="H15" s="6" t="n">
        <v>20</v>
      </c>
      <c r="I15" s="6" t="n">
        <v>0</v>
      </c>
      <c r="J15" s="6" t="inlineStr">
        <is>
          <t>Complete</t>
        </is>
      </c>
    </row>
    <row r="16">
      <c r="A16" s="6" t="inlineStr">
        <is>
          <t>SO 1890279972</t>
        </is>
      </c>
      <c r="B16" s="6" t="inlineStr">
        <is>
          <t>2026-09-07</t>
        </is>
      </c>
      <c r="C16" s="6" t="inlineStr">
        <is>
          <t>(same)</t>
        </is>
      </c>
      <c r="D16" s="6" t="inlineStr">
        <is>
          <t>ACI</t>
        </is>
      </c>
      <c r="E16" s="6" t="inlineStr">
        <is>
          <t>878433</t>
        </is>
      </c>
      <c r="F16" s="6" t="inlineStr">
        <is>
          <t>TopBreed Creamy Treats Tuna 12g x 4Stick (CAR)</t>
        </is>
      </c>
      <c r="G16" s="6" t="n">
        <v>3</v>
      </c>
      <c r="H16" s="6" t="n">
        <v>3</v>
      </c>
      <c r="I16" s="6" t="n">
        <v>0</v>
      </c>
      <c r="J16" s="6" t="inlineStr">
        <is>
          <t>Complete</t>
        </is>
      </c>
    </row>
    <row r="17">
      <c r="A17" s="6" t="inlineStr">
        <is>
          <t>SO 1890276777</t>
        </is>
      </c>
      <c r="B17" s="6" t="inlineStr">
        <is>
          <t>2026-08-19</t>
        </is>
      </c>
      <c r="C17" s="6" t="inlineStr">
        <is>
          <t>SO 1890279848</t>
        </is>
      </c>
      <c r="D17" s="6" t="inlineStr">
        <is>
          <t>MMFI</t>
        </is>
      </c>
      <c r="E17" s="6" t="inlineStr">
        <is>
          <t>873353</t>
        </is>
      </c>
      <c r="F17" s="6" t="inlineStr">
        <is>
          <t>Supremo Infinity 2.1 Pel &amp; Grains 50Kg</t>
        </is>
      </c>
      <c r="G17" s="6" t="n">
        <v>150</v>
      </c>
      <c r="H17" s="6" t="n">
        <v>150</v>
      </c>
      <c r="I17" s="6" t="n">
        <v>0</v>
      </c>
      <c r="J17" s="6" t="inlineStr">
        <is>
          <t>Complete</t>
        </is>
      </c>
    </row>
    <row r="18">
      <c r="A18" s="6" t="inlineStr">
        <is>
          <t>SO 1890276777</t>
        </is>
      </c>
      <c r="B18" s="6" t="inlineStr">
        <is>
          <t>2026-08-19</t>
        </is>
      </c>
      <c r="C18" s="6" t="inlineStr">
        <is>
          <t>(same)</t>
        </is>
      </c>
      <c r="D18" s="6" t="inlineStr">
        <is>
          <t>MMFI</t>
        </is>
      </c>
      <c r="E18" s="6" t="inlineStr">
        <is>
          <t>872300</t>
        </is>
      </c>
      <c r="F18" s="6" t="inlineStr">
        <is>
          <t>Supremo Infinity Ready Mix Pel Red 25kg</t>
        </is>
      </c>
      <c r="G18" s="6" t="n">
        <v>50</v>
      </c>
      <c r="H18" s="6" t="n">
        <v>50</v>
      </c>
      <c r="I18" s="6" t="n">
        <v>0</v>
      </c>
      <c r="J18" s="6" t="inlineStr">
        <is>
          <t>Complete</t>
        </is>
      </c>
    </row>
    <row r="19">
      <c r="A19" s="4" t="inlineStr">
        <is>
          <t>SO 1890276777</t>
        </is>
      </c>
      <c r="B19" s="4" t="inlineStr">
        <is>
          <t>2026-08-19</t>
        </is>
      </c>
      <c r="C19" s="4" t="inlineStr">
        <is>
          <t>SO 1890279848</t>
        </is>
      </c>
      <c r="D19" s="4" t="inlineStr">
        <is>
          <t>ACI</t>
        </is>
      </c>
      <c r="E19" s="4" t="inlineStr">
        <is>
          <t>871140</t>
        </is>
      </c>
      <c r="F19" s="4" t="inlineStr">
        <is>
          <t>Supremo Infinity 2.1 (MP) 25x1kg</t>
        </is>
      </c>
      <c r="G19" s="4" t="n">
        <v>80</v>
      </c>
      <c r="H19" s="4" t="n">
        <v>79</v>
      </c>
      <c r="I19" s="4" t="n">
        <v>-1</v>
      </c>
      <c r="J19" s="4" t="inlineStr">
        <is>
          <t>Short 1</t>
        </is>
      </c>
    </row>
    <row r="20">
      <c r="A20" s="6" t="inlineStr">
        <is>
          <t>SO 1890276779</t>
        </is>
      </c>
      <c r="B20" s="6" t="inlineStr">
        <is>
          <t>2026-08-19</t>
        </is>
      </c>
      <c r="C20" s="6" t="inlineStr">
        <is>
          <t>SO 1890279849</t>
        </is>
      </c>
      <c r="D20" s="6" t="inlineStr">
        <is>
          <t>ACI</t>
        </is>
      </c>
      <c r="E20" s="6" t="inlineStr">
        <is>
          <t>878160</t>
        </is>
      </c>
      <c r="F20" s="6" t="inlineStr">
        <is>
          <t>Topbreed Puppy Meal 20Kg/B</t>
        </is>
      </c>
      <c r="G20" s="6" t="n">
        <v>10</v>
      </c>
      <c r="H20" s="6" t="n">
        <v>10</v>
      </c>
      <c r="I20" s="6" t="n">
        <v>0</v>
      </c>
      <c r="J20" s="6" t="inlineStr">
        <is>
          <t>Complete</t>
        </is>
      </c>
    </row>
    <row r="21">
      <c r="A21" s="6" t="inlineStr">
        <is>
          <t>SO 1890276779</t>
        </is>
      </c>
      <c r="B21" s="6" t="inlineStr">
        <is>
          <t>2026-08-19</t>
        </is>
      </c>
      <c r="C21" s="6" t="inlineStr">
        <is>
          <t>SO 1890279849</t>
        </is>
      </c>
      <c r="D21" s="6" t="inlineStr">
        <is>
          <t>ACI</t>
        </is>
      </c>
      <c r="E21" s="6" t="inlineStr">
        <is>
          <t>878140</t>
        </is>
      </c>
      <c r="F21" s="6" t="inlineStr">
        <is>
          <t>Topbreed Adult Meal 20Kg/B</t>
        </is>
      </c>
      <c r="G21" s="6" t="n">
        <v>20</v>
      </c>
      <c r="H21" s="6" t="n">
        <v>20</v>
      </c>
      <c r="I21" s="6" t="n">
        <v>0</v>
      </c>
      <c r="J21" s="6" t="inlineStr">
        <is>
          <t>Complete</t>
        </is>
      </c>
    </row>
    <row r="22">
      <c r="A22" s="6" t="inlineStr">
        <is>
          <t>SO 1890280005</t>
        </is>
      </c>
      <c r="B22" s="6" t="inlineStr">
        <is>
          <t>2026-09-07</t>
        </is>
      </c>
      <c r="C22" s="6" t="inlineStr">
        <is>
          <t>(same)</t>
        </is>
      </c>
      <c r="D22" s="6" t="inlineStr">
        <is>
          <t>ACI</t>
        </is>
      </c>
      <c r="E22" s="6" t="inlineStr">
        <is>
          <t>878140</t>
        </is>
      </c>
      <c r="F22" s="6" t="inlineStr">
        <is>
          <t>Topbreed Adult Meal 20Kg/B</t>
        </is>
      </c>
      <c r="G22" s="6" t="n">
        <v>30</v>
      </c>
      <c r="H22" s="6" t="n">
        <v>30</v>
      </c>
      <c r="I22" s="6" t="n">
        <v>0</v>
      </c>
      <c r="J22" s="6" t="inlineStr">
        <is>
          <t>Complete</t>
        </is>
      </c>
    </row>
    <row r="23">
      <c r="A23" s="6" t="inlineStr">
        <is>
          <t>SO 1890279850</t>
        </is>
      </c>
      <c r="B23" s="6" t="inlineStr">
        <is>
          <t>2026-09-07</t>
        </is>
      </c>
      <c r="C23" s="6" t="inlineStr">
        <is>
          <t>(same)</t>
        </is>
      </c>
      <c r="D23" s="6" t="inlineStr">
        <is>
          <t>ACI</t>
        </is>
      </c>
      <c r="E23" s="6" t="inlineStr">
        <is>
          <t>878433</t>
        </is>
      </c>
      <c r="F23" s="6" t="inlineStr">
        <is>
          <t>TopBreed Creamy Treats Tuna 12g x 4Stick (CAR)</t>
        </is>
      </c>
      <c r="G23" s="6" t="n">
        <v>20</v>
      </c>
      <c r="H23" s="6" t="n">
        <v>20</v>
      </c>
      <c r="I23" s="6" t="n">
        <v>0</v>
      </c>
      <c r="J23" s="6" t="inlineStr">
        <is>
          <t>Complete</t>
        </is>
      </c>
    </row>
    <row r="24">
      <c r="A24" s="12" t="inlineStr">
        <is>
          <t>TOTAL</t>
        </is>
      </c>
      <c r="B24" s="13" t="n"/>
      <c r="C24" s="13" t="n"/>
      <c r="D24" s="13" t="n"/>
      <c r="E24" s="13" t="n"/>
      <c r="F24" s="13" t="n"/>
      <c r="G24" s="12">
        <f>SUM(G5:G23)</f>
        <v/>
      </c>
      <c r="H24" s="12">
        <f>SUM(H5:H23)</f>
        <v/>
      </c>
      <c r="I24" s="12">
        <f>SUM(I5:I23)</f>
        <v/>
      </c>
      <c r="J24" s="13" t="n"/>
    </row>
  </sheetData>
  <mergeCells count="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2" customWidth="1" min="3" max="3"/>
    <col width="10" customWidth="1" min="4" max="4"/>
    <col width="42" customWidth="1" min="5" max="5"/>
    <col width="10" customWidth="1" min="6" max="6"/>
    <col width="15" customWidth="1" min="7" max="7"/>
    <col width="14" customWidth="1" min="8" max="8"/>
    <col width="60" customWidth="1" min="9" max="9"/>
  </cols>
  <sheetData>
    <row r="1">
      <c r="A1" s="1" t="inlineStr">
        <is>
          <t>Not in 12 Sep delivery</t>
        </is>
      </c>
    </row>
    <row r="2" ht="44" customHeight="1">
      <c r="A2" s="2" t="inlineStr">
        <is>
          <t>Paid for, but not on either 12 Sep pickup list. Missing from that delivery is not proof it never came: the "On the books" column says how each line is recorded.</t>
        </is>
      </c>
    </row>
    <row r="4">
      <c r="A4" s="3" t="inlineStr">
        <is>
          <t>File</t>
        </is>
      </c>
      <c r="B4" s="3" t="inlineStr">
        <is>
          <t>Sales order</t>
        </is>
      </c>
      <c r="C4" s="3" t="inlineStr">
        <is>
          <t>SO date</t>
        </is>
      </c>
      <c r="D4" s="3" t="inlineStr">
        <is>
          <t>URC code</t>
        </is>
      </c>
      <c r="E4" s="3" t="inlineStr">
        <is>
          <t>Product</t>
        </is>
      </c>
      <c r="F4" s="3" t="inlineStr">
        <is>
          <t>Ordered</t>
        </is>
      </c>
      <c r="G4" s="3" t="inlineStr">
        <is>
          <t>Net cost / unit</t>
        </is>
      </c>
      <c r="H4" s="3" t="inlineStr">
        <is>
          <t>Value</t>
        </is>
      </c>
      <c r="I4" s="3" t="inlineStr">
        <is>
          <t>On the books</t>
        </is>
      </c>
    </row>
    <row r="5">
      <c r="A5" s="8" t="inlineStr">
        <is>
          <t>PO2.pdf</t>
        </is>
      </c>
      <c r="B5" s="8" t="inlineStr">
        <is>
          <t>SO 1890276777</t>
        </is>
      </c>
      <c r="C5" s="8" t="inlineStr">
        <is>
          <t>2026-08-19</t>
        </is>
      </c>
      <c r="D5" s="8" t="inlineStr">
        <is>
          <t>873360</t>
        </is>
      </c>
      <c r="E5" s="8" t="inlineStr">
        <is>
          <t>Supremo Infinity 3 (Mp) 50Kg/B</t>
        </is>
      </c>
      <c r="F5" s="8" t="n">
        <v>50</v>
      </c>
      <c r="G5" s="9" t="n">
        <v>1496.07</v>
      </c>
      <c r="H5" s="9" t="n">
        <v>74803.5</v>
      </c>
      <c r="I5" s="8" t="inlineStr">
        <is>
          <t>Added as still on order (status Ordered)</t>
        </is>
      </c>
    </row>
    <row r="6">
      <c r="A6" s="8" t="inlineStr">
        <is>
          <t>PO2.pdf</t>
        </is>
      </c>
      <c r="B6" s="8" t="inlineStr">
        <is>
          <t>SO 1890276779</t>
        </is>
      </c>
      <c r="C6" s="8" t="inlineStr">
        <is>
          <t>2026-08-19</t>
        </is>
      </c>
      <c r="D6" s="8" t="inlineStr">
        <is>
          <t>878960</t>
        </is>
      </c>
      <c r="E6" s="8" t="inlineStr">
        <is>
          <t>TopBreed Cat Meal 20kg</t>
        </is>
      </c>
      <c r="F6" s="8" t="n">
        <v>15</v>
      </c>
      <c r="G6" s="9" t="n">
        <v>1949.08</v>
      </c>
      <c r="H6" s="9" t="n">
        <v>29236.2</v>
      </c>
      <c r="I6" s="8" t="inlineStr">
        <is>
          <t>Added as still on order (status Ordered)</t>
        </is>
      </c>
    </row>
    <row r="7">
      <c r="A7" s="8" t="inlineStr">
        <is>
          <t>PO2.pdf</t>
        </is>
      </c>
      <c r="B7" s="8" t="inlineStr">
        <is>
          <t>SO 1890276783</t>
        </is>
      </c>
      <c r="C7" s="8" t="inlineStr">
        <is>
          <t>2026-08-19</t>
        </is>
      </c>
      <c r="D7" s="8" t="inlineStr">
        <is>
          <t>879024</t>
        </is>
      </c>
      <c r="E7" s="8" t="inlineStr">
        <is>
          <t>TopBreed Gravy Chunks RBL 130g (BOX)</t>
        </is>
      </c>
      <c r="F7" s="8" t="n">
        <v>10</v>
      </c>
      <c r="G7" s="9" t="n">
        <v>1060.81</v>
      </c>
      <c r="H7" s="9" t="n">
        <v>10608.1</v>
      </c>
      <c r="I7" s="8" t="inlineStr">
        <is>
          <t>Added as still on order (status Ordered)</t>
        </is>
      </c>
    </row>
    <row r="8">
      <c r="A8" s="8" t="inlineStr">
        <is>
          <t>PO2.pdf</t>
        </is>
      </c>
      <c r="B8" s="8" t="inlineStr">
        <is>
          <t>SO 1890276783</t>
        </is>
      </c>
      <c r="C8" s="8" t="inlineStr">
        <is>
          <t>2026-08-19</t>
        </is>
      </c>
      <c r="D8" s="8" t="inlineStr">
        <is>
          <t>879025</t>
        </is>
      </c>
      <c r="E8" s="8" t="inlineStr">
        <is>
          <t>TopBreed Gravy Chunks CLS 130g (BOX)</t>
        </is>
      </c>
      <c r="F8" s="8" t="n">
        <v>10</v>
      </c>
      <c r="G8" s="9" t="n">
        <v>1060.81</v>
      </c>
      <c r="H8" s="9" t="n">
        <v>10608.1</v>
      </c>
      <c r="I8" s="8" t="inlineStr">
        <is>
          <t>Added as still on order (status Ordered)</t>
        </is>
      </c>
    </row>
    <row r="9">
      <c r="A9" s="10" t="inlineStr">
        <is>
          <t>PO5.pdf</t>
        </is>
      </c>
      <c r="B9" s="10" t="inlineStr">
        <is>
          <t>SO 1890267771</t>
        </is>
      </c>
      <c r="C9" s="10" t="inlineStr">
        <is>
          <t>2026-07-01</t>
        </is>
      </c>
      <c r="D9" s="10" t="inlineStr">
        <is>
          <t>874770</t>
        </is>
      </c>
      <c r="E9" s="10" t="inlineStr">
        <is>
          <t>Uno+ Supreme Lactating Pellet 50Kg/B</t>
        </is>
      </c>
      <c r="F9" s="10" t="n">
        <v>10</v>
      </c>
      <c r="G9" s="11" t="n">
        <v>1737.64</v>
      </c>
      <c r="H9" s="11" t="n">
        <v>17376.4</v>
      </c>
      <c r="I9" s="10" t="inlineStr">
        <is>
          <t>Recorded as received by the earlier backfill — left as is. Confirm it came before 12 Sep.</t>
        </is>
      </c>
    </row>
    <row r="10">
      <c r="A10" s="10" t="inlineStr">
        <is>
          <t>PO5.pdf</t>
        </is>
      </c>
      <c r="B10" s="10" t="inlineStr">
        <is>
          <t>SO 1890267771</t>
        </is>
      </c>
      <c r="C10" s="10" t="inlineStr">
        <is>
          <t>2026-07-01</t>
        </is>
      </c>
      <c r="D10" s="10" t="inlineStr">
        <is>
          <t>874720</t>
        </is>
      </c>
      <c r="E10" s="10" t="inlineStr">
        <is>
          <t>Uno+ Premium Breeder Pellet 50kg/B</t>
        </is>
      </c>
      <c r="F10" s="10" t="n">
        <v>10</v>
      </c>
      <c r="G10" s="11" t="n">
        <v>1588.07</v>
      </c>
      <c r="H10" s="11" t="n">
        <v>15880.7</v>
      </c>
      <c r="I10" s="10" t="inlineStr">
        <is>
          <t>Recorded as received by the earlier backfill — left as is. Confirm it came before 12 Sep.</t>
        </is>
      </c>
    </row>
    <row r="11">
      <c r="A11" s="10" t="inlineStr">
        <is>
          <t>PO5.pdf</t>
        </is>
      </c>
      <c r="B11" s="10" t="inlineStr">
        <is>
          <t>SO 1890267771</t>
        </is>
      </c>
      <c r="C11" s="10" t="inlineStr">
        <is>
          <t>2026-07-01</t>
        </is>
      </c>
      <c r="D11" s="10" t="inlineStr">
        <is>
          <t>874670</t>
        </is>
      </c>
      <c r="E11" s="10" t="inlineStr">
        <is>
          <t>Star Gain Starter Pellet 50Kg/B</t>
        </is>
      </c>
      <c r="F11" s="10" t="n">
        <v>10</v>
      </c>
      <c r="G11" s="11" t="n">
        <v>1676.05</v>
      </c>
      <c r="H11" s="11" t="n">
        <v>16760.5</v>
      </c>
      <c r="I11" s="10" t="inlineStr">
        <is>
          <t>Recorded as received by the earlier backfill — left as is. Confirm it came before 12 Sep.</t>
        </is>
      </c>
    </row>
    <row r="12">
      <c r="A12" s="10" t="inlineStr">
        <is>
          <t>PO5.pdf</t>
        </is>
      </c>
      <c r="B12" s="10" t="inlineStr">
        <is>
          <t>SO 1890267773</t>
        </is>
      </c>
      <c r="C12" s="10" t="inlineStr">
        <is>
          <t>2026-07-01</t>
        </is>
      </c>
      <c r="D12" s="10" t="inlineStr">
        <is>
          <t>872300</t>
        </is>
      </c>
      <c r="E12" s="10" t="inlineStr">
        <is>
          <t>Supremo Infinity Ready Mix Pel Red 25kg</t>
        </is>
      </c>
      <c r="F12" s="10" t="n">
        <v>10</v>
      </c>
      <c r="G12" s="11" t="n">
        <v>852.63</v>
      </c>
      <c r="H12" s="11" t="n">
        <v>8526.299999999999</v>
      </c>
      <c r="I12" s="10" t="inlineStr">
        <is>
          <t>Recorded as received by the earlier backfill — left as is. Confirm it came before 12 Sep.</t>
        </is>
      </c>
    </row>
    <row r="13">
      <c r="A13" s="12" t="inlineStr">
        <is>
          <t>TOTAL</t>
        </is>
      </c>
      <c r="B13" s="13" t="n"/>
      <c r="C13" s="13" t="n"/>
      <c r="D13" s="13" t="n"/>
      <c r="E13" s="13" t="n"/>
      <c r="F13" s="12">
        <f>SUM(F5:F12)</f>
        <v/>
      </c>
      <c r="G13" s="13" t="n"/>
      <c r="H13" s="14">
        <f>SUM(H5:H12)</f>
        <v/>
      </c>
      <c r="I13" s="13" t="n"/>
    </row>
  </sheetData>
  <mergeCells count="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0" customWidth="1" min="3" max="3"/>
    <col width="42" customWidth="1" min="4" max="4"/>
    <col width="9" customWidth="1" min="5" max="5"/>
    <col width="9" customWidth="1" min="6" max="6"/>
    <col width="9" customWidth="1" min="7" max="7"/>
    <col width="15" customWidth="1" min="8" max="8"/>
    <col width="15" customWidth="1" min="9" max="9"/>
  </cols>
  <sheetData>
    <row r="1">
      <c r="A1" s="1" t="inlineStr">
        <is>
          <t>Short</t>
        </is>
      </c>
    </row>
    <row r="2" ht="44" customHeight="1">
      <c r="A2" s="2" t="inlineStr">
        <is>
          <t>Came on 12 Sep, but fewer than ordered (the hand-written figures on the pickup lists).</t>
        </is>
      </c>
    </row>
    <row r="4">
      <c r="A4" s="3" t="inlineStr">
        <is>
          <t>Sales order</t>
        </is>
      </c>
      <c r="B4" s="3" t="inlineStr">
        <is>
          <t>Picked up as</t>
        </is>
      </c>
      <c r="C4" s="3" t="inlineStr">
        <is>
          <t>URC code</t>
        </is>
      </c>
      <c r="D4" s="3" t="inlineStr">
        <is>
          <t>Product</t>
        </is>
      </c>
      <c r="E4" s="3" t="inlineStr">
        <is>
          <t>Ordered</t>
        </is>
      </c>
      <c r="F4" s="3" t="inlineStr">
        <is>
          <t>Came</t>
        </is>
      </c>
      <c r="G4" s="3" t="inlineStr">
        <is>
          <t>Lacking</t>
        </is>
      </c>
      <c r="H4" s="3" t="inlineStr">
        <is>
          <t>Net cost / unit</t>
        </is>
      </c>
      <c r="I4" s="3" t="inlineStr">
        <is>
          <t>Value lacking</t>
        </is>
      </c>
    </row>
    <row r="5">
      <c r="A5" s="4" t="inlineStr">
        <is>
          <t>SO 1890279961</t>
        </is>
      </c>
      <c r="B5" s="4" t="inlineStr">
        <is>
          <t>(same)</t>
        </is>
      </c>
      <c r="C5" s="4" t="inlineStr">
        <is>
          <t>874700</t>
        </is>
      </c>
      <c r="D5" s="4" t="inlineStr">
        <is>
          <t>Uno+ Premium Grower Pellet 50Kg/B</t>
        </is>
      </c>
      <c r="E5" s="4" t="n">
        <v>30</v>
      </c>
      <c r="F5" s="4" t="n">
        <v>28</v>
      </c>
      <c r="G5" s="4" t="n">
        <v>2</v>
      </c>
      <c r="H5" s="5" t="n">
        <v>1631.1</v>
      </c>
      <c r="I5" s="5" t="n">
        <v>3262.2</v>
      </c>
    </row>
    <row r="6">
      <c r="A6" s="4" t="inlineStr">
        <is>
          <t>SO 1890279961</t>
        </is>
      </c>
      <c r="B6" s="4" t="inlineStr">
        <is>
          <t>(same)</t>
        </is>
      </c>
      <c r="C6" s="4" t="inlineStr">
        <is>
          <t>874860</t>
        </is>
      </c>
      <c r="D6" s="4" t="inlineStr">
        <is>
          <t>Uno+ Premium Lactating Pellet 50kg/B</t>
        </is>
      </c>
      <c r="E6" s="4" t="n">
        <v>20</v>
      </c>
      <c r="F6" s="4" t="n">
        <v>19</v>
      </c>
      <c r="G6" s="4" t="n">
        <v>1</v>
      </c>
      <c r="H6" s="5" t="n">
        <v>1706.04</v>
      </c>
      <c r="I6" s="5" t="n">
        <v>1706.04</v>
      </c>
    </row>
    <row r="7">
      <c r="A7" s="4" t="inlineStr">
        <is>
          <t>SO 1890276777</t>
        </is>
      </c>
      <c r="B7" s="4" t="inlineStr">
        <is>
          <t>SO 1890279848</t>
        </is>
      </c>
      <c r="C7" s="4" t="inlineStr">
        <is>
          <t>871140</t>
        </is>
      </c>
      <c r="D7" s="4" t="inlineStr">
        <is>
          <t>Supremo Infinity 2.1 (MP) 25x1kg</t>
        </is>
      </c>
      <c r="E7" s="4" t="n">
        <v>80</v>
      </c>
      <c r="F7" s="4" t="n">
        <v>79</v>
      </c>
      <c r="G7" s="4" t="n">
        <v>1</v>
      </c>
      <c r="H7" s="5" t="n">
        <v>918.42</v>
      </c>
      <c r="I7" s="5" t="n">
        <v>918.42</v>
      </c>
    </row>
    <row r="8">
      <c r="A8" s="12" t="inlineStr">
        <is>
          <t>TOTAL</t>
        </is>
      </c>
      <c r="B8" s="13" t="n"/>
      <c r="C8" s="13" t="n"/>
      <c r="D8" s="13" t="n"/>
      <c r="E8" s="12">
        <f>SUM(E5:E7)</f>
        <v/>
      </c>
      <c r="F8" s="12">
        <f>SUM(F5:F7)</f>
        <v/>
      </c>
      <c r="G8" s="12">
        <f>SUM(G5:G7)</f>
        <v/>
      </c>
      <c r="H8" s="13" t="n"/>
      <c r="I8" s="14">
        <f>SUM(I5:I7)</f>
        <v/>
      </c>
    </row>
  </sheetData>
  <mergeCells count="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16" customWidth="1" min="1" max="1"/>
    <col width="10" customWidth="1" min="2" max="2"/>
    <col width="42" customWidth="1" min="3" max="3"/>
    <col width="9" customWidth="1" min="4" max="4"/>
    <col width="9" customWidth="1" min="5" max="5"/>
    <col width="9" customWidth="1" min="6" max="6"/>
  </cols>
  <sheetData>
    <row r="1">
      <c r="A1" s="1" t="inlineStr">
        <is>
          <t>Over-delivered</t>
        </is>
      </c>
    </row>
    <row r="2" ht="44" customHeight="1">
      <c r="A2" s="2" t="inlineStr">
        <is>
          <t>More arrived than was ordered. Worth raising with URC: the extra bags are not on any paid order.</t>
        </is>
      </c>
    </row>
    <row r="4">
      <c r="A4" s="3" t="inlineStr">
        <is>
          <t>Sales order</t>
        </is>
      </c>
      <c r="B4" s="3" t="inlineStr">
        <is>
          <t>URC code</t>
        </is>
      </c>
      <c r="C4" s="3" t="inlineStr">
        <is>
          <t>Product</t>
        </is>
      </c>
      <c r="D4" s="3" t="inlineStr">
        <is>
          <t>Ordered</t>
        </is>
      </c>
      <c r="E4" s="3" t="inlineStr">
        <is>
          <t>Came</t>
        </is>
      </c>
      <c r="F4" s="3" t="inlineStr">
        <is>
          <t>Extra</t>
        </is>
      </c>
    </row>
    <row r="5">
      <c r="A5" s="4" t="inlineStr">
        <is>
          <t>SO 1890279961</t>
        </is>
      </c>
      <c r="B5" s="4" t="inlineStr">
        <is>
          <t>874710</t>
        </is>
      </c>
      <c r="C5" s="4" t="inlineStr">
        <is>
          <t>Uno+ Premium Starter Pellet 50Kg/B</t>
        </is>
      </c>
      <c r="D5" s="4" t="n">
        <v>30</v>
      </c>
      <c r="E5" s="4" t="n">
        <v>34</v>
      </c>
      <c r="F5" s="4" t="n">
        <v>4</v>
      </c>
    </row>
    <row r="6">
      <c r="A6" s="12" t="inlineStr">
        <is>
          <t>TOTAL</t>
        </is>
      </c>
      <c r="B6" s="13" t="n"/>
      <c r="C6" s="13" t="n"/>
      <c r="D6" s="12">
        <f>SUM(D5:D5)</f>
        <v/>
      </c>
      <c r="E6" s="12">
        <f>SUM(E5:E5)</f>
        <v/>
      </c>
      <c r="F6" s="12">
        <f>SUM(F5:F5)</f>
        <v/>
      </c>
    </row>
  </sheetData>
  <mergeCells count="1">
    <mergeCell ref="A2:F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8" customWidth="1" min="1" max="1"/>
    <col width="16" customWidth="1" min="2" max="2"/>
    <col width="18" customWidth="1" min="3" max="3"/>
    <col width="16" customWidth="1" min="4" max="4"/>
    <col width="10" customWidth="1" min="5" max="5"/>
    <col width="42" customWidth="1" min="6" max="6"/>
    <col width="9" customWidth="1" min="7" max="7"/>
  </cols>
  <sheetData>
    <row r="1">
      <c r="A1" s="1" t="inlineStr">
        <is>
          <t>Came on older orders</t>
        </is>
      </c>
    </row>
    <row r="2" ht="44" customHeight="1">
      <c r="A2" s="2" t="inlineStr">
        <is>
          <t>Also on the pickup lists, but for orders not in PO1–PO5. These orders are already on the books, so this file leaves them as they are. SO 1890279846 is SO 1890274632 re-approved: all four lines match it exactly.</t>
        </is>
      </c>
    </row>
    <row r="4">
      <c r="A4" s="3" t="inlineStr">
        <is>
          <t>Pickup</t>
        </is>
      </c>
      <c r="B4" s="3" t="inlineStr">
        <is>
          <t>Approved SO date</t>
        </is>
      </c>
      <c r="C4" s="3" t="inlineStr">
        <is>
          <t>SO on pickup list</t>
        </is>
      </c>
      <c r="D4" s="3" t="inlineStr">
        <is>
          <t>Original order</t>
        </is>
      </c>
      <c r="E4" s="3" t="inlineStr">
        <is>
          <t>URC code</t>
        </is>
      </c>
      <c r="F4" s="3" t="inlineStr">
        <is>
          <t>Product</t>
        </is>
      </c>
      <c r="G4" s="3" t="inlineStr">
        <is>
          <t>Came</t>
        </is>
      </c>
    </row>
    <row r="5">
      <c r="A5" s="15" t="inlineStr">
        <is>
          <t>ACI</t>
        </is>
      </c>
      <c r="B5" s="15" t="inlineStr">
        <is>
          <t>07-Sep</t>
        </is>
      </c>
      <c r="C5" s="15" t="inlineStr">
        <is>
          <t>SO 1890279846</t>
        </is>
      </c>
      <c r="D5" s="15" t="inlineStr">
        <is>
          <t>SO 1890274632</t>
        </is>
      </c>
      <c r="E5" s="15" t="inlineStr">
        <is>
          <t>871130</t>
        </is>
      </c>
      <c r="F5" s="15" t="inlineStr">
        <is>
          <t>Supremo Infinity 2 (CGC) 25x1kg</t>
        </is>
      </c>
      <c r="G5" s="15" t="n">
        <v>20</v>
      </c>
    </row>
    <row r="6">
      <c r="A6" s="15" t="inlineStr">
        <is>
          <t>ACI</t>
        </is>
      </c>
      <c r="B6" s="15" t="inlineStr">
        <is>
          <t>07-Sep</t>
        </is>
      </c>
      <c r="C6" s="15" t="inlineStr">
        <is>
          <t>SO 1890279846</t>
        </is>
      </c>
      <c r="D6" s="15" t="inlineStr">
        <is>
          <t>SO 1890274632</t>
        </is>
      </c>
      <c r="E6" s="15" t="inlineStr">
        <is>
          <t>871140</t>
        </is>
      </c>
      <c r="F6" s="15" t="inlineStr">
        <is>
          <t>Supremo Infinity 2.1 (MP) 25x1kg</t>
        </is>
      </c>
      <c r="G6" s="15" t="n">
        <v>20</v>
      </c>
    </row>
    <row r="7">
      <c r="A7" s="15" t="inlineStr">
        <is>
          <t>ACI</t>
        </is>
      </c>
      <c r="B7" s="15" t="inlineStr">
        <is>
          <t>07-Sep</t>
        </is>
      </c>
      <c r="C7" s="15" t="inlineStr">
        <is>
          <t>SO 1890279846</t>
        </is>
      </c>
      <c r="D7" s="15" t="inlineStr">
        <is>
          <t>SO 1890274632</t>
        </is>
      </c>
      <c r="E7" s="15" t="inlineStr">
        <is>
          <t>871150</t>
        </is>
      </c>
      <c r="F7" s="15" t="inlineStr">
        <is>
          <t>Supremo Infinity 4 (BP) 25x1kg</t>
        </is>
      </c>
      <c r="G7" s="15" t="n">
        <v>10</v>
      </c>
    </row>
    <row r="8">
      <c r="A8" s="15" t="inlineStr">
        <is>
          <t>ACI</t>
        </is>
      </c>
      <c r="B8" s="15" t="inlineStr">
        <is>
          <t>07-Sep</t>
        </is>
      </c>
      <c r="C8" s="15" t="inlineStr">
        <is>
          <t>SO 1890279846</t>
        </is>
      </c>
      <c r="D8" s="15" t="inlineStr">
        <is>
          <t>SO 1890274632</t>
        </is>
      </c>
      <c r="E8" s="15" t="inlineStr">
        <is>
          <t>872430</t>
        </is>
      </c>
      <c r="F8" s="15" t="inlineStr">
        <is>
          <t>Supremo Infinity Fortifier 32 HPP 25x1kg</t>
        </is>
      </c>
      <c r="G8" s="15" t="n">
        <v>20</v>
      </c>
    </row>
    <row r="9">
      <c r="A9" s="15" t="inlineStr">
        <is>
          <t>ACI</t>
        </is>
      </c>
      <c r="B9" s="15" t="inlineStr">
        <is>
          <t>07-Aug</t>
        </is>
      </c>
      <c r="C9" s="15" t="inlineStr">
        <is>
          <t>SO 1890274638</t>
        </is>
      </c>
      <c r="D9" s="15" t="inlineStr">
        <is>
          <t>(same)</t>
        </is>
      </c>
      <c r="E9" s="15" t="inlineStr">
        <is>
          <t>878590</t>
        </is>
      </c>
      <c r="F9" s="15" t="inlineStr">
        <is>
          <t>Topbreed 5Kg Adult Dog Meal</t>
        </is>
      </c>
      <c r="G9" s="15" t="n">
        <v>20</v>
      </c>
    </row>
    <row r="10">
      <c r="A10" s="15" t="inlineStr">
        <is>
          <t>ACI</t>
        </is>
      </c>
      <c r="B10" s="15" t="inlineStr">
        <is>
          <t>24-Jul</t>
        </is>
      </c>
      <c r="C10" s="15" t="inlineStr">
        <is>
          <t>SO 1890271973</t>
        </is>
      </c>
      <c r="D10" s="15" t="inlineStr">
        <is>
          <t>(same)</t>
        </is>
      </c>
      <c r="E10" s="15" t="inlineStr">
        <is>
          <t>878590</t>
        </is>
      </c>
      <c r="F10" s="15" t="inlineStr">
        <is>
          <t>Topbreed 5Kg Adult Dog Meal</t>
        </is>
      </c>
      <c r="G10" s="15" t="n">
        <v>35</v>
      </c>
    </row>
    <row r="11">
      <c r="A11" s="12" t="inlineStr">
        <is>
          <t>TOTAL</t>
        </is>
      </c>
      <c r="B11" s="13" t="n"/>
      <c r="C11" s="13" t="n"/>
      <c r="D11" s="13" t="n"/>
      <c r="E11" s="13" t="n"/>
      <c r="F11" s="13" t="n"/>
      <c r="G11" s="12">
        <f>SUM(G5:G10)</f>
        <v/>
      </c>
    </row>
  </sheetData>
  <mergeCells count="1">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2026-09-12T23:28:22Z</dcterms:created>
  <dcterms:modified xmlns:dcterms="http://purl.org/dc/terms/" xmlns:xsi="http://www.w3.org/2001/XMLSchema-instance" xsi:type="dcterms:W3CDTF">2026-09-12T23:28:22Z</dcterms:modified>
</cp:coreProperties>
</file>